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deves\Desktop\Excel\Class file\"/>
    </mc:Choice>
  </mc:AlternateContent>
  <xr:revisionPtr revIDLastSave="0" documentId="13_ncr:1_{F28BA645-E196-40EE-AE35-5E1FFFD73B42}" xr6:coauthVersionLast="47" xr6:coauthVersionMax="47" xr10:uidLastSave="{00000000-0000-0000-0000-000000000000}"/>
  <bookViews>
    <workbookView xWindow="-120" yWindow="-120" windowWidth="20730" windowHeight="11040" xr2:uid="{00000000-000D-0000-FFFF-FFFF00000000}"/>
  </bookViews>
  <sheets>
    <sheet name="IF" sheetId="8" r:id="rId1"/>
    <sheet name="Nested IFs" sheetId="2" r:id="rId2"/>
    <sheet name="IFS" sheetId="9" r:id="rId3"/>
    <sheet name="sumifs" sheetId="5" r:id="rId4"/>
    <sheet name="Practice_sumifs" sheetId="10" r:id="rId5"/>
    <sheet name="Avg, count" sheetId="3" r:id="rId6"/>
    <sheet name="Practice" sheetId="4" r:id="rId7"/>
    <sheet name="minifs-maxifs" sheetId="6" r:id="rId8"/>
    <sheet name="Iferror"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2" l="1"/>
  <c r="D36" i="2"/>
  <c r="B36" i="2"/>
  <c r="I59" i="5"/>
</calcChain>
</file>

<file path=xl/sharedStrings.xml><?xml version="1.0" encoding="utf-8"?>
<sst xmlns="http://schemas.openxmlformats.org/spreadsheetml/2006/main" count="425" uniqueCount="215">
  <si>
    <t>Karan Sisodiya</t>
  </si>
  <si>
    <t>Piyush Lodhi</t>
  </si>
  <si>
    <t>Raj Shukla</t>
  </si>
  <si>
    <t>Kumar Kant</t>
  </si>
  <si>
    <t>Tarun Sing</t>
  </si>
  <si>
    <t>Bhumi Soni</t>
  </si>
  <si>
    <t xml:space="preserve">More than 7000 </t>
  </si>
  <si>
    <t>Rahul Shukla</t>
  </si>
  <si>
    <t>More than 3000 but less then 7000</t>
  </si>
  <si>
    <t>Bhanu Rawat</t>
  </si>
  <si>
    <t>Less then equal to 3000</t>
  </si>
  <si>
    <t>Ravi Kumar</t>
  </si>
  <si>
    <t>Discount</t>
  </si>
  <si>
    <t>Amount</t>
  </si>
  <si>
    <t>Sales</t>
  </si>
  <si>
    <t>Customer</t>
  </si>
  <si>
    <t>Criteria</t>
  </si>
  <si>
    <t>Q2.Find sales amount</t>
  </si>
  <si>
    <t>Kaju</t>
  </si>
  <si>
    <t>Kartik</t>
  </si>
  <si>
    <t>Naman</t>
  </si>
  <si>
    <t>Mohit</t>
  </si>
  <si>
    <t>Maneesh</t>
  </si>
  <si>
    <t>&lt;50</t>
  </si>
  <si>
    <t>D</t>
  </si>
  <si>
    <t>Naresh</t>
  </si>
  <si>
    <t>&gt;=50</t>
  </si>
  <si>
    <t>C</t>
  </si>
  <si>
    <t>Nikita</t>
  </si>
  <si>
    <t>&gt;=70</t>
  </si>
  <si>
    <t>B</t>
  </si>
  <si>
    <t>Nikhil</t>
  </si>
  <si>
    <t>&gt;=90</t>
  </si>
  <si>
    <t>A</t>
  </si>
  <si>
    <t>Nimisha</t>
  </si>
  <si>
    <t>Marks</t>
  </si>
  <si>
    <t>Grade</t>
  </si>
  <si>
    <t>Student Name</t>
  </si>
  <si>
    <t>Q1. Marksheet</t>
  </si>
  <si>
    <t>Low</t>
  </si>
  <si>
    <t>Mid</t>
  </si>
  <si>
    <t>High</t>
  </si>
  <si>
    <t>less then 500</t>
  </si>
  <si>
    <t>Between 500-1000</t>
  </si>
  <si>
    <t>More then 1000</t>
  </si>
  <si>
    <t>Result</t>
  </si>
  <si>
    <t>Sales high/low</t>
  </si>
  <si>
    <t>Q3. Find sales using AND</t>
  </si>
  <si>
    <t>Total</t>
  </si>
  <si>
    <t>Q4.</t>
  </si>
  <si>
    <t>City</t>
  </si>
  <si>
    <t>Anchorage</t>
  </si>
  <si>
    <t>Atlanta</t>
  </si>
  <si>
    <t>Boston</t>
  </si>
  <si>
    <t>Charleston</t>
  </si>
  <si>
    <t>Cleveland</t>
  </si>
  <si>
    <t>Detroit</t>
  </si>
  <si>
    <t>Flagstaff</t>
  </si>
  <si>
    <t>Los Angeles</t>
  </si>
  <si>
    <t>Memphis</t>
  </si>
  <si>
    <t>New Orleans</t>
  </si>
  <si>
    <t>New York</t>
  </si>
  <si>
    <t>Philadelphia</t>
  </si>
  <si>
    <t xml:space="preserve">Sales </t>
  </si>
  <si>
    <t>0-100</t>
  </si>
  <si>
    <t>101-1000</t>
  </si>
  <si>
    <t>Average</t>
  </si>
  <si>
    <t>1001-5000</t>
  </si>
  <si>
    <t>Good</t>
  </si>
  <si>
    <t>Above 5000</t>
  </si>
  <si>
    <t>Category</t>
  </si>
  <si>
    <t>Great</t>
  </si>
  <si>
    <t xml:space="preserve">    Name</t>
  </si>
  <si>
    <t>Type 1</t>
  </si>
  <si>
    <t>Defense</t>
  </si>
  <si>
    <t>Generation</t>
  </si>
  <si>
    <t>Speed</t>
  </si>
  <si>
    <t>Bulbasaur</t>
  </si>
  <si>
    <t>Grass</t>
  </si>
  <si>
    <t>Ivysaur</t>
  </si>
  <si>
    <t>Venusaur</t>
  </si>
  <si>
    <t>Charmander</t>
  </si>
  <si>
    <t>Fire</t>
  </si>
  <si>
    <t>Charmeleon</t>
  </si>
  <si>
    <t>Charizard</t>
  </si>
  <si>
    <t>Chikorita</t>
  </si>
  <si>
    <t>Bayleef</t>
  </si>
  <si>
    <t>Meganium</t>
  </si>
  <si>
    <t>Cyndaquil</t>
  </si>
  <si>
    <t>Quilava</t>
  </si>
  <si>
    <t>Typhlosion</t>
  </si>
  <si>
    <t>Product Name</t>
  </si>
  <si>
    <t>Location</t>
  </si>
  <si>
    <t>Vendor</t>
  </si>
  <si>
    <t>Cost Price</t>
  </si>
  <si>
    <t>Total Sales</t>
  </si>
  <si>
    <t>Qty</t>
  </si>
  <si>
    <t>Indore</t>
  </si>
  <si>
    <t>Bhopal</t>
  </si>
  <si>
    <t>Delhi</t>
  </si>
  <si>
    <t>Kochi</t>
  </si>
  <si>
    <t>Mumbai</t>
  </si>
  <si>
    <t>SUMIF</t>
  </si>
  <si>
    <t>SUMIFS</t>
  </si>
  <si>
    <t>COUNTIF</t>
  </si>
  <si>
    <t>COUNTIFS</t>
  </si>
  <si>
    <t>Count</t>
  </si>
  <si>
    <t>AVERAGEIFS</t>
  </si>
  <si>
    <t>AVERAGEIF</t>
  </si>
  <si>
    <t>Type</t>
  </si>
  <si>
    <t>Gen.</t>
  </si>
  <si>
    <t>Average Defense</t>
  </si>
  <si>
    <t>Average Speed</t>
  </si>
  <si>
    <t>Water</t>
  </si>
  <si>
    <t>Total Sum</t>
  </si>
  <si>
    <t>Brand</t>
  </si>
  <si>
    <t>Model</t>
  </si>
  <si>
    <t>Warehouse Location</t>
  </si>
  <si>
    <t>Sale Price</t>
  </si>
  <si>
    <t>JAN</t>
  </si>
  <si>
    <t>Samsung</t>
  </si>
  <si>
    <t>Galaxy S9</t>
  </si>
  <si>
    <t>Australia</t>
  </si>
  <si>
    <t>Galaxy S8</t>
  </si>
  <si>
    <t>USA</t>
  </si>
  <si>
    <t>Apple</t>
  </si>
  <si>
    <t>IPhone7</t>
  </si>
  <si>
    <t>Singapore</t>
  </si>
  <si>
    <t>IPhone8</t>
  </si>
  <si>
    <t>IPhoneXS</t>
  </si>
  <si>
    <t>Count the no. of Warehouse location in USA</t>
  </si>
  <si>
    <t>Total Sales of USA</t>
  </si>
  <si>
    <t>Average Sales of USA</t>
  </si>
  <si>
    <t>FEB</t>
  </si>
  <si>
    <t>Count the no. of samsung Warehouse in USA</t>
  </si>
  <si>
    <t>Total Sales of Samsung in USA</t>
  </si>
  <si>
    <t xml:space="preserve">Average Sales of Samsung in USA </t>
  </si>
  <si>
    <t>Q. find the Average sales in ?</t>
  </si>
  <si>
    <t>Month</t>
  </si>
  <si>
    <t>Q1.</t>
  </si>
  <si>
    <t>Q2.</t>
  </si>
  <si>
    <t>Region</t>
  </si>
  <si>
    <t>Product</t>
  </si>
  <si>
    <t>Sales Amount</t>
  </si>
  <si>
    <t>North</t>
  </si>
  <si>
    <t>Product A</t>
  </si>
  <si>
    <t>East</t>
  </si>
  <si>
    <t>Product B</t>
  </si>
  <si>
    <t>South</t>
  </si>
  <si>
    <t>West</t>
  </si>
  <si>
    <t>Employee</t>
  </si>
  <si>
    <t>Department</t>
  </si>
  <si>
    <t>Years of Experience</t>
  </si>
  <si>
    <t>Salary</t>
  </si>
  <si>
    <t>Alice</t>
  </si>
  <si>
    <t>HR</t>
  </si>
  <si>
    <t>Bob</t>
  </si>
  <si>
    <t>IT</t>
  </si>
  <si>
    <t>Charlie</t>
  </si>
  <si>
    <t>David</t>
  </si>
  <si>
    <t>Eva</t>
  </si>
  <si>
    <t>Frank</t>
  </si>
  <si>
    <t>George</t>
  </si>
  <si>
    <t>Q1. Find the minimum salary of the employee from IT department?</t>
  </si>
  <si>
    <t>Q2.Find the Max salary of employee who has worked for more than 5 years?</t>
  </si>
  <si>
    <t>Q3. Find the Max salary in sales department?</t>
  </si>
  <si>
    <t>Q.1</t>
  </si>
  <si>
    <t>Priscilla</t>
  </si>
  <si>
    <t>Ralph</t>
  </si>
  <si>
    <t>Eddie</t>
  </si>
  <si>
    <t>Sara</t>
  </si>
  <si>
    <t>casey</t>
  </si>
  <si>
    <t>harry</t>
  </si>
  <si>
    <t>Cheryl</t>
  </si>
  <si>
    <t>doris</t>
  </si>
  <si>
    <t>Ernest</t>
  </si>
  <si>
    <t>Sherry</t>
  </si>
  <si>
    <t>lindsey</t>
  </si>
  <si>
    <t>whitney</t>
  </si>
  <si>
    <t>Sheryl</t>
  </si>
  <si>
    <t>Jo</t>
  </si>
  <si>
    <t>shelia</t>
  </si>
  <si>
    <t>Q3</t>
  </si>
  <si>
    <t>Q2</t>
  </si>
  <si>
    <t>Q1</t>
  </si>
  <si>
    <t>First Name</t>
  </si>
  <si>
    <t>Q3.</t>
  </si>
  <si>
    <t>Orderamount</t>
  </si>
  <si>
    <t>Price</t>
  </si>
  <si>
    <t>4. OR Function</t>
  </si>
  <si>
    <t>3. AND Function</t>
  </si>
  <si>
    <t>1. Sales Data</t>
  </si>
  <si>
    <t>=IF(logical_test, value_if_true, value_if_false)</t>
  </si>
  <si>
    <r>
      <t xml:space="preserve">IF : </t>
    </r>
    <r>
      <rPr>
        <sz val="12"/>
        <rFont val="Calibri"/>
        <family val="2"/>
        <scheme val="minor"/>
      </rPr>
      <t xml:space="preserve">function in Excel is used to perform a logical test and return one value if the test is TRUE and another value if the test is FALSE. </t>
    </r>
  </si>
  <si>
    <r>
      <t>IFS: </t>
    </r>
    <r>
      <rPr>
        <sz val="12"/>
        <rFont val="Calibri"/>
        <family val="2"/>
        <scheme val="minor"/>
      </rPr>
      <t>function in Excel is used to check multiple conditions and return a corresponding value for the first true condition.</t>
    </r>
  </si>
  <si>
    <t xml:space="preserve">    =IFS(logical_test1, value_if_true1, [logical_test2, value_if_true2], ...)</t>
  </si>
  <si>
    <t>a</t>
  </si>
  <si>
    <t>b</t>
  </si>
  <si>
    <t>Ravi</t>
  </si>
  <si>
    <t>Kunal</t>
  </si>
  <si>
    <t>Amla Juice 1 L</t>
  </si>
  <si>
    <t>Ginger Burst Honey250 Gm</t>
  </si>
  <si>
    <t>Karela Jamun Juice 1 L</t>
  </si>
  <si>
    <t>Virgin Coconut Oil 500 Ml</t>
  </si>
  <si>
    <t>Wild Giloy Juice 1 L</t>
  </si>
  <si>
    <t>Outlets</t>
  </si>
  <si>
    <t>Q2. Calculate total sales of only the given products?</t>
  </si>
  <si>
    <t>Q3. Calculate total sales of given products at concerned locations?</t>
  </si>
  <si>
    <t>Q4. Find the total count of outlets for given product?</t>
  </si>
  <si>
    <t>Q5. Find the total count of outlets for given product and location?</t>
  </si>
  <si>
    <t>Q6. Total Count of products with total sales amount more than 500</t>
  </si>
  <si>
    <t>Q7. Total Outlets where Vendor A operates</t>
  </si>
  <si>
    <t>Total Count</t>
  </si>
  <si>
    <r>
      <t xml:space="preserve">IFERROR: </t>
    </r>
    <r>
      <rPr>
        <sz val="11"/>
        <color rgb="FF000000"/>
        <rFont val="Calibri"/>
        <family val="2"/>
        <scheme val="minor"/>
      </rPr>
      <t xml:space="preserve">Check is the value is error and if it is error return the set vale else it return the default value            </t>
    </r>
  </si>
  <si>
    <t>`=IFERROR(value,vlaue_if_error)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</si>
</sst>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_(* #,##0_);_(* \(#,##0\);_(* &quot;-&quot;??_);_(@_)"/>
    <numFmt numFmtId="166" formatCode="&quot;$&quot;#,##0;[Red]\-&quot;$&quot;#,##0"/>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i/>
      <sz val="12"/>
      <name val="Calibri"/>
      <family val="2"/>
      <scheme val="minor"/>
    </font>
    <font>
      <b/>
      <sz val="12"/>
      <color rgb="FF000000"/>
      <name val="Calibri"/>
      <family val="2"/>
      <scheme val="minor"/>
    </font>
    <font>
      <b/>
      <sz val="11"/>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theme="0" tint="-0.14996795556505021"/>
        <bgColor indexed="64"/>
      </patternFill>
    </fill>
    <fill>
      <patternFill patternType="solid">
        <fgColor theme="8" tint="0.79995117038483843"/>
        <bgColor indexed="64"/>
      </patternFill>
    </fill>
    <fill>
      <patternFill patternType="solid">
        <fgColor theme="6"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indexed="64"/>
      </top>
      <bottom style="double">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indexed="64"/>
      </left>
      <right style="thin">
        <color indexed="64"/>
      </right>
      <top style="thin">
        <color indexed="64"/>
      </top>
      <bottom style="thin">
        <color auto="1"/>
      </bottom>
      <diagonal/>
    </border>
    <border>
      <left style="thin">
        <color indexed="64"/>
      </left>
      <right style="thin">
        <color indexed="64"/>
      </right>
      <top style="thin">
        <color auto="1"/>
      </top>
      <bottom style="thin">
        <color indexed="64"/>
      </bottom>
      <diagonal/>
    </border>
    <border>
      <left/>
      <right/>
      <top/>
      <bottom style="double">
        <color indexed="64"/>
      </bottom>
      <diagonal/>
    </border>
  </borders>
  <cellStyleXfs count="4">
    <xf numFmtId="0" fontId="0" fillId="0" borderId="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cellStyleXfs>
  <cellXfs count="67">
    <xf numFmtId="0" fontId="0" fillId="0" borderId="0" xfId="0"/>
    <xf numFmtId="0" fontId="0" fillId="0" borderId="1" xfId="0" applyBorder="1"/>
    <xf numFmtId="10" fontId="0" fillId="0" borderId="0" xfId="0" applyNumberFormat="1"/>
    <xf numFmtId="9" fontId="0" fillId="0" borderId="1" xfId="0" applyNumberFormat="1" applyBorder="1"/>
    <xf numFmtId="0" fontId="0" fillId="0" borderId="2" xfId="0" applyBorder="1"/>
    <xf numFmtId="0" fontId="2" fillId="2" borderId="1" xfId="0" applyFont="1" applyFill="1" applyBorder="1"/>
    <xf numFmtId="165" fontId="0" fillId="0" borderId="1" xfId="1" applyNumberFormat="1" applyFont="1" applyBorder="1"/>
    <xf numFmtId="0" fontId="0" fillId="0" borderId="6" xfId="0" applyBorder="1"/>
    <xf numFmtId="165" fontId="0" fillId="0" borderId="4" xfId="1" applyNumberFormat="1" applyFont="1" applyBorder="1"/>
    <xf numFmtId="0" fontId="0" fillId="0" borderId="5" xfId="0" applyBorder="1"/>
    <xf numFmtId="0" fontId="0" fillId="0" borderId="4" xfId="0" applyBorder="1"/>
    <xf numFmtId="0" fontId="3" fillId="0" borderId="0" xfId="0" applyFont="1" applyAlignment="1">
      <alignment horizontal="center" wrapText="1"/>
    </xf>
    <xf numFmtId="0" fontId="3" fillId="0" borderId="0" xfId="0" applyFont="1"/>
    <xf numFmtId="0" fontId="4" fillId="0" borderId="0" xfId="0" applyFont="1"/>
    <xf numFmtId="1" fontId="4" fillId="0" borderId="0" xfId="0" applyNumberFormat="1" applyFont="1"/>
    <xf numFmtId="0" fontId="0" fillId="0" borderId="3" xfId="0" applyBorder="1"/>
    <xf numFmtId="0" fontId="4" fillId="0" borderId="1" xfId="0" applyFont="1" applyBorder="1"/>
    <xf numFmtId="0" fontId="4" fillId="0" borderId="2" xfId="0" applyFont="1" applyBorder="1"/>
    <xf numFmtId="0" fontId="0" fillId="0" borderId="1" xfId="0" applyBorder="1" applyAlignment="1">
      <alignment horizontal="center"/>
    </xf>
    <xf numFmtId="166" fontId="0" fillId="0" borderId="1" xfId="0" applyNumberFormat="1" applyBorder="1" applyAlignment="1">
      <alignment horizontal="center"/>
    </xf>
    <xf numFmtId="0" fontId="0" fillId="0" borderId="0" xfId="0" applyAlignment="1">
      <alignment horizontal="center"/>
    </xf>
    <xf numFmtId="166" fontId="0" fillId="0" borderId="0" xfId="0" applyNumberFormat="1"/>
    <xf numFmtId="166" fontId="0" fillId="0" borderId="3" xfId="0" applyNumberFormat="1" applyBorder="1"/>
    <xf numFmtId="0" fontId="2" fillId="2" borderId="6" xfId="0" applyFont="1" applyFill="1" applyBorder="1"/>
    <xf numFmtId="3" fontId="0" fillId="0" borderId="1" xfId="0" applyNumberFormat="1" applyBorder="1"/>
    <xf numFmtId="0" fontId="2" fillId="3" borderId="1" xfId="0" applyFont="1" applyFill="1" applyBorder="1"/>
    <xf numFmtId="0" fontId="2" fillId="3" borderId="4" xfId="0" applyFont="1" applyFill="1" applyBorder="1"/>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165" fontId="0" fillId="0" borderId="1" xfId="3" applyNumberFormat="1" applyFont="1" applyBorder="1"/>
    <xf numFmtId="165" fontId="0" fillId="0" borderId="2" xfId="3" applyNumberFormat="1" applyFont="1" applyBorder="1"/>
    <xf numFmtId="0" fontId="2" fillId="3" borderId="2" xfId="0" applyFont="1" applyFill="1" applyBorder="1"/>
    <xf numFmtId="0" fontId="5" fillId="3" borderId="7" xfId="0" applyFont="1" applyFill="1" applyBorder="1"/>
    <xf numFmtId="0" fontId="2" fillId="3" borderId="8" xfId="0" applyFont="1" applyFill="1" applyBorder="1"/>
    <xf numFmtId="0" fontId="2" fillId="3" borderId="9" xfId="0" applyFont="1" applyFill="1" applyBorder="1"/>
    <xf numFmtId="0" fontId="2" fillId="3" borderId="10" xfId="0" applyFont="1" applyFill="1" applyBorder="1"/>
    <xf numFmtId="9" fontId="0" fillId="0" borderId="2" xfId="0" applyNumberFormat="1" applyBorder="1"/>
    <xf numFmtId="0" fontId="2" fillId="3" borderId="12" xfId="0" applyFont="1" applyFill="1" applyBorder="1"/>
    <xf numFmtId="165" fontId="0" fillId="0" borderId="5" xfId="1" applyNumberFormat="1" applyFont="1" applyBorder="1"/>
    <xf numFmtId="0" fontId="2" fillId="0" borderId="3" xfId="0" applyFont="1" applyBorder="1"/>
    <xf numFmtId="0" fontId="2" fillId="3" borderId="11" xfId="0" applyFont="1" applyFill="1" applyBorder="1"/>
    <xf numFmtId="165" fontId="0" fillId="0" borderId="2" xfId="1" applyNumberFormat="1" applyFont="1" applyBorder="1"/>
    <xf numFmtId="165" fontId="2" fillId="0" borderId="3" xfId="1" applyNumberFormat="1" applyFont="1" applyBorder="1"/>
    <xf numFmtId="0" fontId="0" fillId="0" borderId="2" xfId="0" applyBorder="1" applyAlignment="1">
      <alignment horizontal="center"/>
    </xf>
    <xf numFmtId="0" fontId="2" fillId="3" borderId="1" xfId="0" applyFont="1" applyFill="1" applyBorder="1" applyAlignment="1">
      <alignment horizontal="center"/>
    </xf>
    <xf numFmtId="0" fontId="2" fillId="3" borderId="4" xfId="0" applyFont="1" applyFill="1" applyBorder="1" applyAlignment="1">
      <alignment horizontal="center"/>
    </xf>
    <xf numFmtId="166" fontId="0" fillId="0" borderId="2" xfId="0" applyNumberFormat="1" applyBorder="1" applyAlignment="1">
      <alignment horizontal="center"/>
    </xf>
    <xf numFmtId="3" fontId="0" fillId="0" borderId="2" xfId="0" applyNumberFormat="1" applyBorder="1"/>
    <xf numFmtId="0" fontId="7" fillId="3" borderId="13" xfId="0" quotePrefix="1" applyFont="1" applyFill="1" applyBorder="1"/>
    <xf numFmtId="0" fontId="7" fillId="3" borderId="13" xfId="0" applyFont="1" applyFill="1" applyBorder="1"/>
    <xf numFmtId="0" fontId="2" fillId="3" borderId="1" xfId="0" applyFont="1" applyFill="1" applyBorder="1" applyAlignment="1">
      <alignment horizontal="left"/>
    </xf>
    <xf numFmtId="0" fontId="2" fillId="3" borderId="1" xfId="0" applyFont="1" applyFill="1" applyBorder="1"/>
    <xf numFmtId="0" fontId="0" fillId="0" borderId="2" xfId="0" applyBorder="1"/>
    <xf numFmtId="0" fontId="0" fillId="0" borderId="1" xfId="0" applyBorder="1"/>
    <xf numFmtId="0" fontId="2" fillId="3" borderId="1" xfId="0" applyFont="1" applyFill="1" applyBorder="1" applyAlignment="1">
      <alignment horizontal="center"/>
    </xf>
    <xf numFmtId="0" fontId="2" fillId="3" borderId="8" xfId="0" applyFont="1" applyFill="1" applyBorder="1"/>
    <xf numFmtId="0" fontId="2" fillId="3" borderId="9" xfId="0" applyFont="1" applyFill="1" applyBorder="1"/>
    <xf numFmtId="0" fontId="2" fillId="3" borderId="10" xfId="0" applyFont="1" applyFill="1" applyBorder="1"/>
    <xf numFmtId="0" fontId="5" fillId="4" borderId="0" xfId="0" applyFont="1" applyFill="1" applyBorder="1"/>
    <xf numFmtId="0" fontId="5" fillId="4" borderId="0" xfId="0" quotePrefix="1" applyFont="1" applyFill="1" applyBorder="1"/>
    <xf numFmtId="0" fontId="0" fillId="0" borderId="12" xfId="0" applyBorder="1"/>
    <xf numFmtId="0" fontId="4" fillId="0" borderId="0" xfId="0" applyFont="1" applyAlignment="1"/>
    <xf numFmtId="0" fontId="8" fillId="0" borderId="0" xfId="0" applyFont="1"/>
    <xf numFmtId="0" fontId="0" fillId="4" borderId="0" xfId="0" applyFill="1"/>
    <xf numFmtId="0" fontId="2" fillId="4" borderId="12" xfId="0" applyFont="1" applyFill="1" applyBorder="1"/>
    <xf numFmtId="0" fontId="9" fillId="4" borderId="0" xfId="0" applyFont="1" applyFill="1" applyAlignment="1">
      <alignment vertical="center" readingOrder="1"/>
    </xf>
    <xf numFmtId="0" fontId="10" fillId="4" borderId="0" xfId="0" applyFont="1" applyFill="1" applyAlignment="1">
      <alignment vertical="center" readingOrder="1"/>
    </xf>
  </cellXfs>
  <cellStyles count="4">
    <cellStyle name="Comma" xfId="1" builtinId="3"/>
    <cellStyle name="Comma 2" xfId="2" xr:uid="{0B9B04F5-0613-4C78-86EC-DE612F1CE417}"/>
    <cellStyle name="Comma 2 2" xfId="3" xr:uid="{0E201538-D5B6-4128-8B82-5D44E00A58C7}"/>
    <cellStyle name="Normal" xfId="0" builtinId="0"/>
  </cellStyles>
  <dxfs count="0"/>
  <tableStyles count="0" defaultTableStyle="TableStyleMedium2" defaultPivotStyle="PivotStyleLight16"/>
  <colors>
    <mruColors>
      <color rgb="FFFFFF00"/>
      <color rgb="FF99FF99"/>
      <color rgb="FFFFCC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276085</xdr:colOff>
      <xdr:row>5</xdr:row>
      <xdr:rowOff>34875</xdr:rowOff>
    </xdr:from>
    <xdr:to>
      <xdr:col>12</xdr:col>
      <xdr:colOff>427932</xdr:colOff>
      <xdr:row>9</xdr:row>
      <xdr:rowOff>12714</xdr:rowOff>
    </xdr:to>
    <xdr:sp macro="" textlink="">
      <xdr:nvSpPr>
        <xdr:cNvPr id="2" name="TextBox 1">
          <a:extLst>
            <a:ext uri="{FF2B5EF4-FFF2-40B4-BE49-F238E27FC236}">
              <a16:creationId xmlns:a16="http://schemas.microsoft.com/office/drawing/2014/main" id="{40EC5D67-1255-436B-9D45-CCB4726D699B}"/>
            </a:ext>
          </a:extLst>
        </xdr:cNvPr>
        <xdr:cNvSpPr txBox="1"/>
      </xdr:nvSpPr>
      <xdr:spPr>
        <a:xfrm>
          <a:off x="2714485" y="987375"/>
          <a:ext cx="5028647" cy="739839"/>
        </a:xfrm>
        <a:prstGeom prst="roundRect">
          <a:avLst/>
        </a:prstGeom>
        <a:solidFill>
          <a:schemeClr val="bg1">
            <a:lumMod val="85000"/>
          </a:schemeClr>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Q1. Find if sales in 2015 is Greater then 2016</a:t>
          </a:r>
        </a:p>
        <a:p>
          <a:r>
            <a:rPr lang="en-US" sz="1200" b="1"/>
            <a:t>Q2.Fing if we made more sales this year if yes print " More Sales" else "Less Sales</a:t>
          </a:r>
        </a:p>
      </xdr:txBody>
    </xdr:sp>
    <xdr:clientData/>
  </xdr:twoCellAnchor>
  <xdr:twoCellAnchor>
    <xdr:from>
      <xdr:col>5</xdr:col>
      <xdr:colOff>286203</xdr:colOff>
      <xdr:row>20</xdr:row>
      <xdr:rowOff>162212</xdr:rowOff>
    </xdr:from>
    <xdr:to>
      <xdr:col>16</xdr:col>
      <xdr:colOff>435428</xdr:colOff>
      <xdr:row>25</xdr:row>
      <xdr:rowOff>36284</xdr:rowOff>
    </xdr:to>
    <xdr:sp macro="" textlink="">
      <xdr:nvSpPr>
        <xdr:cNvPr id="4" name="TextBox 3">
          <a:extLst>
            <a:ext uri="{FF2B5EF4-FFF2-40B4-BE49-F238E27FC236}">
              <a16:creationId xmlns:a16="http://schemas.microsoft.com/office/drawing/2014/main" id="{275C6BF1-02B1-4924-8624-46E59E124FB2}"/>
            </a:ext>
          </a:extLst>
        </xdr:cNvPr>
        <xdr:cNvSpPr txBox="1"/>
      </xdr:nvSpPr>
      <xdr:spPr>
        <a:xfrm>
          <a:off x="3334203" y="5686712"/>
          <a:ext cx="6854825" cy="826572"/>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Q1. Find if the price is greater then 300 and order amount is greater then equal to 5?(True/False)</a:t>
          </a:r>
        </a:p>
        <a:p>
          <a:r>
            <a:rPr lang="en-US" sz="1200" b="1"/>
            <a:t>Q2. Find if price is greater then 400 and orderamount is equal to 4?(True/False)</a:t>
          </a:r>
        </a:p>
        <a:p>
          <a:r>
            <a:rPr lang="en-US" sz="1200" b="1"/>
            <a:t>Q3. Find if the price is 600 and orderamount is equal</a:t>
          </a:r>
          <a:r>
            <a:rPr lang="en-US" sz="1200" b="1" baseline="0"/>
            <a:t> to </a:t>
          </a:r>
          <a:r>
            <a:rPr lang="en-US" sz="1200" b="1"/>
            <a:t>3?(True/False)</a:t>
          </a:r>
        </a:p>
      </xdr:txBody>
    </xdr:sp>
    <xdr:clientData/>
  </xdr:twoCellAnchor>
  <xdr:twoCellAnchor>
    <xdr:from>
      <xdr:col>5</xdr:col>
      <xdr:colOff>476249</xdr:colOff>
      <xdr:row>43</xdr:row>
      <xdr:rowOff>7808</xdr:rowOff>
    </xdr:from>
    <xdr:to>
      <xdr:col>17</xdr:col>
      <xdr:colOff>16499</xdr:colOff>
      <xdr:row>47</xdr:row>
      <xdr:rowOff>84871</xdr:rowOff>
    </xdr:to>
    <xdr:sp macro="" textlink="">
      <xdr:nvSpPr>
        <xdr:cNvPr id="6" name="TextBox 5">
          <a:extLst>
            <a:ext uri="{FF2B5EF4-FFF2-40B4-BE49-F238E27FC236}">
              <a16:creationId xmlns:a16="http://schemas.microsoft.com/office/drawing/2014/main" id="{EE22ED70-0CE5-4577-8340-40CB5D0EE776}"/>
            </a:ext>
          </a:extLst>
        </xdr:cNvPr>
        <xdr:cNvSpPr txBox="1"/>
      </xdr:nvSpPr>
      <xdr:spPr>
        <a:xfrm>
          <a:off x="3524249" y="9913808"/>
          <a:ext cx="6855450" cy="839063"/>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Q1. Find if the price is greater then 500 or order amount is greater then equal to 5?(True/False)</a:t>
          </a:r>
        </a:p>
        <a:p>
          <a:r>
            <a:rPr lang="en-US" sz="1200" b="1"/>
            <a:t>Q2. Find if price is lower then 500 or orderamount is equal to 7?(True/False)</a:t>
          </a:r>
        </a:p>
        <a:p>
          <a:r>
            <a:rPr lang="en-US" sz="1200" b="1"/>
            <a:t>Q3. Find if the price is 450 or orderamount is equal</a:t>
          </a:r>
          <a:r>
            <a:rPr lang="en-US" sz="1200" b="1" baseline="0"/>
            <a:t> to 1</a:t>
          </a:r>
          <a:r>
            <a:rPr lang="en-US" sz="1200" b="1"/>
            <a:t>?(True/False)</a:t>
          </a:r>
        </a:p>
      </xdr:txBody>
    </xdr:sp>
    <xdr:clientData/>
  </xdr:twoCellAnchor>
  <xdr:twoCellAnchor>
    <xdr:from>
      <xdr:col>5</xdr:col>
      <xdr:colOff>351332</xdr:colOff>
      <xdr:row>64</xdr:row>
      <xdr:rowOff>195185</xdr:rowOff>
    </xdr:from>
    <xdr:to>
      <xdr:col>16</xdr:col>
      <xdr:colOff>500557</xdr:colOff>
      <xdr:row>69</xdr:row>
      <xdr:rowOff>84871</xdr:rowOff>
    </xdr:to>
    <xdr:sp macro="" textlink="">
      <xdr:nvSpPr>
        <xdr:cNvPr id="7" name="TextBox 6">
          <a:extLst>
            <a:ext uri="{FF2B5EF4-FFF2-40B4-BE49-F238E27FC236}">
              <a16:creationId xmlns:a16="http://schemas.microsoft.com/office/drawing/2014/main" id="{70FA2C72-8BAB-4478-BC4B-47474FB6FA7A}"/>
            </a:ext>
          </a:extLst>
        </xdr:cNvPr>
        <xdr:cNvSpPr txBox="1"/>
      </xdr:nvSpPr>
      <xdr:spPr>
        <a:xfrm>
          <a:off x="3399332" y="14101685"/>
          <a:ext cx="6854825" cy="842186"/>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Q1.</a:t>
          </a:r>
          <a:r>
            <a:rPr lang="en-US" sz="1200" b="1" baseline="0"/>
            <a:t> Check if the name start with "S" Then print "Start with S" else "Does not start with S"?</a:t>
          </a:r>
        </a:p>
        <a:p>
          <a:r>
            <a:rPr lang="en-US" sz="1200" b="1"/>
            <a:t>Q2.</a:t>
          </a:r>
          <a:r>
            <a:rPr lang="en-US" sz="1200" b="1" baseline="0"/>
            <a:t> If the person's Name ends with "y" Double there salary else same salary?</a:t>
          </a:r>
        </a:p>
        <a:p>
          <a:r>
            <a:rPr lang="en-US" sz="1200" b="1" baseline="0"/>
            <a:t>Q3. Check if the length of name is greater than 5 than print " More than  5" else "Less then 5"?</a:t>
          </a:r>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498963</xdr:colOff>
      <xdr:row>16</xdr:row>
      <xdr:rowOff>59394</xdr:rowOff>
    </xdr:from>
    <xdr:to>
      <xdr:col>8</xdr:col>
      <xdr:colOff>534865</xdr:colOff>
      <xdr:row>19</xdr:row>
      <xdr:rowOff>102578</xdr:rowOff>
    </xdr:to>
    <xdr:sp macro="" textlink="">
      <xdr:nvSpPr>
        <xdr:cNvPr id="2" name="TextBox 1">
          <a:extLst>
            <a:ext uri="{FF2B5EF4-FFF2-40B4-BE49-F238E27FC236}">
              <a16:creationId xmlns:a16="http://schemas.microsoft.com/office/drawing/2014/main" id="{A635786F-0B1E-4138-BD2D-AE4D4CAB2546}"/>
            </a:ext>
          </a:extLst>
        </xdr:cNvPr>
        <xdr:cNvSpPr txBox="1"/>
      </xdr:nvSpPr>
      <xdr:spPr>
        <a:xfrm>
          <a:off x="2975463" y="3107394"/>
          <a:ext cx="4717806" cy="614684"/>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Q1. Find the grade of each student by</a:t>
          </a:r>
          <a:r>
            <a:rPr lang="en-US" sz="1200" b="1" baseline="0"/>
            <a:t> using the grade criteria table? </a:t>
          </a:r>
          <a:endParaRPr lang="en-US" sz="1200" b="1"/>
        </a:p>
      </xdr:txBody>
    </xdr:sp>
    <xdr:clientData/>
  </xdr:twoCellAnchor>
  <xdr:twoCellAnchor>
    <xdr:from>
      <xdr:col>4</xdr:col>
      <xdr:colOff>571500</xdr:colOff>
      <xdr:row>30</xdr:row>
      <xdr:rowOff>7327</xdr:rowOff>
    </xdr:from>
    <xdr:to>
      <xdr:col>11</xdr:col>
      <xdr:colOff>94517</xdr:colOff>
      <xdr:row>33</xdr:row>
      <xdr:rowOff>50511</xdr:rowOff>
    </xdr:to>
    <xdr:sp macro="" textlink="">
      <xdr:nvSpPr>
        <xdr:cNvPr id="3" name="TextBox 2">
          <a:extLst>
            <a:ext uri="{FF2B5EF4-FFF2-40B4-BE49-F238E27FC236}">
              <a16:creationId xmlns:a16="http://schemas.microsoft.com/office/drawing/2014/main" id="{3F903115-1F1C-4D97-8852-24C5EC9F3A03}"/>
            </a:ext>
          </a:extLst>
        </xdr:cNvPr>
        <xdr:cNvSpPr txBox="1"/>
      </xdr:nvSpPr>
      <xdr:spPr>
        <a:xfrm>
          <a:off x="3009900" y="4198327"/>
          <a:ext cx="3790217" cy="614684"/>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Q1. Find the discount</a:t>
          </a:r>
          <a:r>
            <a:rPr lang="en-US" sz="1200" b="1" baseline="0"/>
            <a:t>ed amount using the criteria? (Amount * Discount)</a:t>
          </a:r>
        </a:p>
        <a:p>
          <a:r>
            <a:rPr lang="en-US" sz="1200" b="1" baseline="0"/>
            <a:t>Q2. Find the total sales?</a:t>
          </a:r>
          <a:endParaRPr lang="en-US" sz="1200" b="1"/>
        </a:p>
      </xdr:txBody>
    </xdr:sp>
    <xdr:clientData/>
  </xdr:twoCellAnchor>
  <xdr:twoCellAnchor>
    <xdr:from>
      <xdr:col>3</xdr:col>
      <xdr:colOff>1465</xdr:colOff>
      <xdr:row>44</xdr:row>
      <xdr:rowOff>96028</xdr:rowOff>
    </xdr:from>
    <xdr:to>
      <xdr:col>7</xdr:col>
      <xdr:colOff>283929</xdr:colOff>
      <xdr:row>47</xdr:row>
      <xdr:rowOff>21982</xdr:rowOff>
    </xdr:to>
    <xdr:sp macro="" textlink="">
      <xdr:nvSpPr>
        <xdr:cNvPr id="4" name="TextBox 3">
          <a:extLst>
            <a:ext uri="{FF2B5EF4-FFF2-40B4-BE49-F238E27FC236}">
              <a16:creationId xmlns:a16="http://schemas.microsoft.com/office/drawing/2014/main" id="{1995E0A9-B13E-A871-C089-BD3CC99BFEA2}"/>
            </a:ext>
          </a:extLst>
        </xdr:cNvPr>
        <xdr:cNvSpPr txBox="1"/>
      </xdr:nvSpPr>
      <xdr:spPr>
        <a:xfrm>
          <a:off x="2477965" y="8478028"/>
          <a:ext cx="4356233" cy="497454"/>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 Find the sales amount category</a:t>
          </a:r>
          <a:r>
            <a:rPr lang="en-US" sz="1200" b="1" baseline="0"/>
            <a:t> using IF, AND functions?</a:t>
          </a:r>
        </a:p>
      </xdr:txBody>
    </xdr:sp>
    <xdr:clientData/>
  </xdr:twoCellAnchor>
  <xdr:twoCellAnchor>
    <xdr:from>
      <xdr:col>3</xdr:col>
      <xdr:colOff>871906</xdr:colOff>
      <xdr:row>61</xdr:row>
      <xdr:rowOff>123870</xdr:rowOff>
    </xdr:from>
    <xdr:to>
      <xdr:col>6</xdr:col>
      <xdr:colOff>1011118</xdr:colOff>
      <xdr:row>64</xdr:row>
      <xdr:rowOff>1</xdr:rowOff>
    </xdr:to>
    <xdr:sp macro="" textlink="">
      <xdr:nvSpPr>
        <xdr:cNvPr id="7" name="TextBox 6">
          <a:extLst>
            <a:ext uri="{FF2B5EF4-FFF2-40B4-BE49-F238E27FC236}">
              <a16:creationId xmlns:a16="http://schemas.microsoft.com/office/drawing/2014/main" id="{F2EA8842-DA22-4407-9754-E75F12106815}"/>
            </a:ext>
          </a:extLst>
        </xdr:cNvPr>
        <xdr:cNvSpPr txBox="1"/>
      </xdr:nvSpPr>
      <xdr:spPr>
        <a:xfrm>
          <a:off x="3348406" y="10220370"/>
          <a:ext cx="2820866" cy="447631"/>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 Find the sales amount category</a:t>
          </a:r>
          <a:r>
            <a:rPr lang="en-US" sz="1200" b="1" baseline="0"/>
            <a:t> </a:t>
          </a:r>
        </a:p>
      </xdr:txBody>
    </xdr:sp>
    <xdr:clientData/>
  </xdr:twoCellAnchor>
  <xdr:twoCellAnchor>
    <xdr:from>
      <xdr:col>0</xdr:col>
      <xdr:colOff>102577</xdr:colOff>
      <xdr:row>0</xdr:row>
      <xdr:rowOff>52066</xdr:rowOff>
    </xdr:from>
    <xdr:to>
      <xdr:col>6</xdr:col>
      <xdr:colOff>1304193</xdr:colOff>
      <xdr:row>7</xdr:row>
      <xdr:rowOff>36636</xdr:rowOff>
    </xdr:to>
    <xdr:sp macro="" textlink="">
      <xdr:nvSpPr>
        <xdr:cNvPr id="8" name="TextBox 7">
          <a:extLst>
            <a:ext uri="{FF2B5EF4-FFF2-40B4-BE49-F238E27FC236}">
              <a16:creationId xmlns:a16="http://schemas.microsoft.com/office/drawing/2014/main" id="{EB70F8CF-1A65-7D46-3371-5E36C746589A}"/>
            </a:ext>
          </a:extLst>
        </xdr:cNvPr>
        <xdr:cNvSpPr txBox="1"/>
      </xdr:nvSpPr>
      <xdr:spPr>
        <a:xfrm>
          <a:off x="102577" y="52066"/>
          <a:ext cx="6359770" cy="1318070"/>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a:t>A </a:t>
          </a:r>
          <a:r>
            <a:rPr lang="en-US" sz="1200" b="1"/>
            <a:t>nested IF</a:t>
          </a:r>
          <a:r>
            <a:rPr lang="en-US" sz="1200"/>
            <a:t> is a formula that involves placing one IF function inside another to perform multiple comparisons. It allows you to test multiple conditions and return different results depending on those conditions.</a:t>
          </a:r>
        </a:p>
        <a:p>
          <a:endParaRPr lang="en-US" sz="1200" b="1"/>
        </a:p>
        <a:p>
          <a:r>
            <a:rPr lang="en-US" sz="1200" b="1"/>
            <a:t>=IF(condition1, value_if_true1, IF(condition2, value_if_true2, value_if_false))</a:t>
          </a:r>
        </a:p>
        <a:p>
          <a:endParaRPr lang="en-US"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275897</xdr:colOff>
      <xdr:row>4</xdr:row>
      <xdr:rowOff>39414</xdr:rowOff>
    </xdr:from>
    <xdr:to>
      <xdr:col>10</xdr:col>
      <xdr:colOff>492673</xdr:colOff>
      <xdr:row>8</xdr:row>
      <xdr:rowOff>32845</xdr:rowOff>
    </xdr:to>
    <xdr:sp macro="" textlink="">
      <xdr:nvSpPr>
        <xdr:cNvPr id="2" name="Rectangle: Rounded Corners 1">
          <a:extLst>
            <a:ext uri="{FF2B5EF4-FFF2-40B4-BE49-F238E27FC236}">
              <a16:creationId xmlns:a16="http://schemas.microsoft.com/office/drawing/2014/main" id="{5BB51283-5D19-686C-DD4F-0E36ACD4889F}"/>
            </a:ext>
          </a:extLst>
        </xdr:cNvPr>
        <xdr:cNvSpPr/>
      </xdr:nvSpPr>
      <xdr:spPr>
        <a:xfrm>
          <a:off x="4276397" y="853966"/>
          <a:ext cx="2660431" cy="755431"/>
        </a:xfrm>
        <a:prstGeom prst="roundRect">
          <a:avLst/>
        </a:prstGeom>
        <a:solidFill>
          <a:schemeClr val="accent5">
            <a:lumMod val="20000"/>
            <a:lumOff val="8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ysClr val="windowText" lastClr="000000"/>
              </a:solidFill>
            </a:rPr>
            <a:t>If You</a:t>
          </a:r>
          <a:r>
            <a:rPr lang="en-US" sz="1100" b="1" i="1" baseline="0">
              <a:solidFill>
                <a:sysClr val="windowText" lastClr="000000"/>
              </a:solidFill>
            </a:rPr>
            <a:t> can not find the IFS function try copying this sheet to google sheets and then try it!</a:t>
          </a:r>
          <a:endParaRPr lang="en-US" sz="1100" b="1" i="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160709</xdr:colOff>
      <xdr:row>0</xdr:row>
      <xdr:rowOff>76354</xdr:rowOff>
    </xdr:from>
    <xdr:to>
      <xdr:col>6</xdr:col>
      <xdr:colOff>335540</xdr:colOff>
      <xdr:row>20</xdr:row>
      <xdr:rowOff>8660</xdr:rowOff>
    </xdr:to>
    <xdr:sp macro="" textlink="">
      <xdr:nvSpPr>
        <xdr:cNvPr id="2" name="TextBox 1">
          <a:extLst>
            <a:ext uri="{FF2B5EF4-FFF2-40B4-BE49-F238E27FC236}">
              <a16:creationId xmlns:a16="http://schemas.microsoft.com/office/drawing/2014/main" id="{ACADE65B-0AF7-C9D9-104D-429B091771A6}"/>
            </a:ext>
          </a:extLst>
        </xdr:cNvPr>
        <xdr:cNvSpPr txBox="1"/>
      </xdr:nvSpPr>
      <xdr:spPr>
        <a:xfrm>
          <a:off x="160709" y="76354"/>
          <a:ext cx="6201558" cy="3915488"/>
        </a:xfrm>
        <a:prstGeom prst="roundRect">
          <a:avLst/>
        </a:prstGeom>
        <a:solidFill>
          <a:schemeClr val="accent5">
            <a:lumMod val="20000"/>
            <a:lumOff val="80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0"/>
            <a:t>Aggregation functions in Excel that end with "IFS" are used to perform calculations (such as summing, averaging, or counting) based on multiple criteria. These functions allow you to apply multiple conditions or filters to the data before performing the calculation.</a:t>
          </a:r>
        </a:p>
        <a:p>
          <a:endParaRPr lang="en-US" sz="1200" b="1"/>
        </a:p>
        <a:p>
          <a:pPr rtl="0" eaLnBrk="1" latinLnBrk="0" hangingPunct="1"/>
          <a:r>
            <a:rPr lang="en-US" sz="1100" b="1">
              <a:solidFill>
                <a:schemeClr val="dk1"/>
              </a:solidFill>
              <a:effectLst/>
              <a:latin typeface="+mn-lt"/>
              <a:ea typeface="+mn-ea"/>
              <a:cs typeface="+mn-cs"/>
            </a:rPr>
            <a:t>SUMIF</a:t>
          </a:r>
          <a:r>
            <a:rPr lang="en-US" sz="1100">
              <a:solidFill>
                <a:schemeClr val="dk1"/>
              </a:solidFill>
              <a:effectLst/>
              <a:latin typeface="+mn-lt"/>
              <a:ea typeface="+mn-ea"/>
              <a:cs typeface="+mn-cs"/>
            </a:rPr>
            <a:t>: Adds values based on one condition.</a:t>
          </a:r>
          <a:endParaRPr lang="en-US" sz="1200">
            <a:effectLst/>
          </a:endParaRPr>
        </a:p>
        <a:p>
          <a:pPr rtl="0" eaLnBrk="1" latinLnBrk="0" hangingPunct="1"/>
          <a:r>
            <a:rPr lang="en-US" sz="1100">
              <a:solidFill>
                <a:schemeClr val="dk1"/>
              </a:solidFill>
              <a:effectLst/>
              <a:latin typeface="+mn-lt"/>
              <a:ea typeface="+mn-ea"/>
              <a:cs typeface="+mn-cs"/>
            </a:rPr>
            <a:t>	=SUMIF(range, criteria, [sum_range])</a:t>
          </a:r>
        </a:p>
        <a:p>
          <a:pPr rtl="0" eaLnBrk="1" latinLnBrk="0" hangingPunct="1"/>
          <a:r>
            <a:rPr lang="en-US" sz="1100" b="1">
              <a:solidFill>
                <a:schemeClr val="dk1"/>
              </a:solidFill>
              <a:effectLst/>
              <a:latin typeface="+mn-lt"/>
              <a:ea typeface="+mn-ea"/>
              <a:cs typeface="+mn-cs"/>
            </a:rPr>
            <a:t>SUMIFS</a:t>
          </a:r>
          <a:r>
            <a:rPr lang="en-US" sz="1100">
              <a:solidFill>
                <a:schemeClr val="dk1"/>
              </a:solidFill>
              <a:effectLst/>
              <a:latin typeface="+mn-lt"/>
              <a:ea typeface="+mn-ea"/>
              <a:cs typeface="+mn-cs"/>
            </a:rPr>
            <a:t>: Adds values based on multiple conditions.</a:t>
          </a:r>
          <a:endParaRPr lang="en-US" sz="1200">
            <a:effectLst/>
          </a:endParaRPr>
        </a:p>
        <a:p>
          <a:pPr rtl="0" eaLnBrk="1" latinLnBrk="0" hangingPunct="1"/>
          <a:r>
            <a:rPr lang="en-US" sz="1100">
              <a:solidFill>
                <a:schemeClr val="dk1"/>
              </a:solidFill>
              <a:effectLst/>
              <a:latin typeface="+mn-lt"/>
              <a:ea typeface="+mn-ea"/>
              <a:cs typeface="+mn-cs"/>
            </a:rPr>
            <a:t>	=SUMIFS(sum_range, criteria_range1, criteria1, ...)</a:t>
          </a:r>
          <a:endParaRPr lang="en-US" sz="1200">
            <a:effectLst/>
          </a:endParaRPr>
        </a:p>
        <a:p>
          <a:pPr rtl="0" eaLnBrk="1" latinLnBrk="0" hangingPunct="1"/>
          <a:endParaRPr lang="en-US" sz="1200">
            <a:effectLst/>
          </a:endParaRPr>
        </a:p>
        <a:p>
          <a:pPr rtl="0" eaLnBrk="1" latinLnBrk="0" hangingPunct="1"/>
          <a:r>
            <a:rPr lang="en-US" sz="1100" b="1">
              <a:solidFill>
                <a:schemeClr val="dk1"/>
              </a:solidFill>
              <a:effectLst/>
              <a:latin typeface="+mn-lt"/>
              <a:ea typeface="+mn-ea"/>
              <a:cs typeface="+mn-cs"/>
            </a:rPr>
            <a:t>AVERAGEIF</a:t>
          </a:r>
          <a:r>
            <a:rPr lang="en-US" sz="1100">
              <a:solidFill>
                <a:schemeClr val="dk1"/>
              </a:solidFill>
              <a:effectLst/>
              <a:latin typeface="+mn-lt"/>
              <a:ea typeface="+mn-ea"/>
              <a:cs typeface="+mn-cs"/>
            </a:rPr>
            <a:t>: Averages values based on one condition.</a:t>
          </a:r>
          <a:endParaRPr lang="en-US" sz="1200">
            <a:effectLst/>
          </a:endParaRPr>
        </a:p>
        <a:p>
          <a:pPr rtl="0" eaLnBrk="1" latinLnBrk="0" hangingPunct="1"/>
          <a:r>
            <a:rPr lang="en-US" sz="1100">
              <a:solidFill>
                <a:schemeClr val="dk1"/>
              </a:solidFill>
              <a:effectLst/>
              <a:latin typeface="+mn-lt"/>
              <a:ea typeface="+mn-ea"/>
              <a:cs typeface="+mn-cs"/>
            </a:rPr>
            <a:t>	=AVERAGEIF(range, criteria, [average_range])</a:t>
          </a:r>
        </a:p>
        <a:p>
          <a:pPr rtl="0" eaLnBrk="1" latinLnBrk="0" hangingPunct="1"/>
          <a:r>
            <a:rPr lang="en-US" sz="1100" b="1">
              <a:solidFill>
                <a:schemeClr val="dk1"/>
              </a:solidFill>
              <a:effectLst/>
              <a:latin typeface="+mn-lt"/>
              <a:ea typeface="+mn-ea"/>
              <a:cs typeface="+mn-cs"/>
            </a:rPr>
            <a:t>AVERAGEIFS</a:t>
          </a:r>
          <a:r>
            <a:rPr lang="en-US" sz="1100">
              <a:solidFill>
                <a:schemeClr val="dk1"/>
              </a:solidFill>
              <a:effectLst/>
              <a:latin typeface="+mn-lt"/>
              <a:ea typeface="+mn-ea"/>
              <a:cs typeface="+mn-cs"/>
            </a:rPr>
            <a:t>: Averages values based on multiple conditions.</a:t>
          </a:r>
          <a:endParaRPr lang="en-US" sz="1200">
            <a:effectLst/>
          </a:endParaRPr>
        </a:p>
        <a:p>
          <a:pPr rtl="0" eaLnBrk="1" latinLnBrk="0" hangingPunct="1"/>
          <a:r>
            <a:rPr lang="en-US" sz="1100">
              <a:solidFill>
                <a:schemeClr val="dk1"/>
              </a:solidFill>
              <a:effectLst/>
              <a:latin typeface="+mn-lt"/>
              <a:ea typeface="+mn-ea"/>
              <a:cs typeface="+mn-cs"/>
            </a:rPr>
            <a:t>	=AVERAGEIFS(average_range, criteria_range1, criteria1, ...)</a:t>
          </a:r>
          <a:endParaRPr lang="en-US" sz="1200">
            <a:effectLst/>
          </a:endParaRPr>
        </a:p>
        <a:p>
          <a:pPr rtl="0" eaLnBrk="1" latinLnBrk="0" hangingPunct="1"/>
          <a:endParaRPr lang="en-US" sz="1200">
            <a:effectLst/>
          </a:endParaRPr>
        </a:p>
        <a:p>
          <a:pPr rtl="0" eaLnBrk="1" latinLnBrk="0" hangingPunct="1"/>
          <a:r>
            <a:rPr lang="en-US" sz="1100" b="1">
              <a:solidFill>
                <a:schemeClr val="dk1"/>
              </a:solidFill>
              <a:effectLst/>
              <a:latin typeface="+mn-lt"/>
              <a:ea typeface="+mn-ea"/>
              <a:cs typeface="+mn-cs"/>
            </a:rPr>
            <a:t>COUNTIF</a:t>
          </a:r>
          <a:r>
            <a:rPr lang="en-US" sz="1100">
              <a:solidFill>
                <a:schemeClr val="dk1"/>
              </a:solidFill>
              <a:effectLst/>
              <a:latin typeface="+mn-lt"/>
              <a:ea typeface="+mn-ea"/>
              <a:cs typeface="+mn-cs"/>
            </a:rPr>
            <a:t>: Counts cells that meet one condition.</a:t>
          </a:r>
          <a:endParaRPr lang="en-US" sz="1200">
            <a:effectLst/>
          </a:endParaRPr>
        </a:p>
        <a:p>
          <a:pPr rtl="0" eaLnBrk="1" latinLnBrk="0" hangingPunct="1"/>
          <a:r>
            <a:rPr lang="en-US" sz="1100">
              <a:solidFill>
                <a:schemeClr val="dk1"/>
              </a:solidFill>
              <a:effectLst/>
              <a:latin typeface="+mn-lt"/>
              <a:ea typeface="+mn-ea"/>
              <a:cs typeface="+mn-cs"/>
            </a:rPr>
            <a:t>	=COUNTIF(range, criteria)</a:t>
          </a:r>
        </a:p>
        <a:p>
          <a:pPr rtl="0" eaLnBrk="1" latinLnBrk="0" hangingPunct="1"/>
          <a:r>
            <a:rPr lang="en-US" sz="1100" b="1">
              <a:solidFill>
                <a:schemeClr val="dk1"/>
              </a:solidFill>
              <a:effectLst/>
              <a:latin typeface="+mn-lt"/>
              <a:ea typeface="+mn-ea"/>
              <a:cs typeface="+mn-cs"/>
            </a:rPr>
            <a:t>COUNTIFS</a:t>
          </a:r>
          <a:r>
            <a:rPr lang="en-US" sz="1100">
              <a:solidFill>
                <a:schemeClr val="dk1"/>
              </a:solidFill>
              <a:effectLst/>
              <a:latin typeface="+mn-lt"/>
              <a:ea typeface="+mn-ea"/>
              <a:cs typeface="+mn-cs"/>
            </a:rPr>
            <a:t>: Counts cells that meet multiple conditions.</a:t>
          </a:r>
          <a:endParaRPr lang="en-US">
            <a:effectLst/>
          </a:endParaRPr>
        </a:p>
        <a:p>
          <a:pPr rtl="0" eaLnBrk="1" latinLnBrk="0" hangingPunct="1"/>
          <a:r>
            <a:rPr lang="en-US" sz="1100">
              <a:solidFill>
                <a:schemeClr val="dk1"/>
              </a:solidFill>
              <a:effectLst/>
              <a:latin typeface="+mn-lt"/>
              <a:ea typeface="+mn-ea"/>
              <a:cs typeface="+mn-cs"/>
            </a:rPr>
            <a:t>	=COUNTIFS(criteria_range1, criteria1, ...)</a:t>
          </a:r>
          <a:endParaRPr lang="en-US" sz="1100" b="1">
            <a:solidFill>
              <a:schemeClr val="dk1"/>
            </a:solidFill>
            <a:effectLst/>
            <a:latin typeface="+mn-lt"/>
            <a:ea typeface="+mn-ea"/>
            <a:cs typeface="+mn-cs"/>
          </a:endParaRPr>
        </a:p>
        <a:p>
          <a:pPr rtl="0" eaLnBrk="1" latinLnBrk="0" hangingPunct="1"/>
          <a:endParaRPr lang="en-US" sz="1200">
            <a:effectLst/>
          </a:endParaRPr>
        </a:p>
        <a:p>
          <a:pPr rtl="0" eaLnBrk="1" latinLnBrk="0" hangingPunct="1"/>
          <a:endParaRPr lang="en-US" sz="1200">
            <a:effectLst/>
          </a:endParaRPr>
        </a:p>
        <a:p>
          <a:endParaRPr lang="en-US"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209551</xdr:colOff>
      <xdr:row>1</xdr:row>
      <xdr:rowOff>6640</xdr:rowOff>
    </xdr:from>
    <xdr:to>
      <xdr:col>6</xdr:col>
      <xdr:colOff>409576</xdr:colOff>
      <xdr:row>4</xdr:row>
      <xdr:rowOff>47626</xdr:rowOff>
    </xdr:to>
    <xdr:sp macro="" textlink="">
      <xdr:nvSpPr>
        <xdr:cNvPr id="2" name="TextBox 1">
          <a:extLst>
            <a:ext uri="{FF2B5EF4-FFF2-40B4-BE49-F238E27FC236}">
              <a16:creationId xmlns:a16="http://schemas.microsoft.com/office/drawing/2014/main" id="{D61C9D01-1FCE-739E-B1D8-EFA01C255A86}"/>
            </a:ext>
          </a:extLst>
        </xdr:cNvPr>
        <xdr:cNvSpPr txBox="1"/>
      </xdr:nvSpPr>
      <xdr:spPr>
        <a:xfrm>
          <a:off x="209551" y="197140"/>
          <a:ext cx="3543300" cy="612486"/>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Q1. Find the Answers for given blocks?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252414</xdr:colOff>
      <xdr:row>2</xdr:row>
      <xdr:rowOff>60614</xdr:rowOff>
    </xdr:from>
    <xdr:to>
      <xdr:col>8</xdr:col>
      <xdr:colOff>504105</xdr:colOff>
      <xdr:row>5</xdr:row>
      <xdr:rowOff>0</xdr:rowOff>
    </xdr:to>
    <xdr:sp macro="" textlink="">
      <xdr:nvSpPr>
        <xdr:cNvPr id="2" name="TextBox 1">
          <a:extLst>
            <a:ext uri="{FF2B5EF4-FFF2-40B4-BE49-F238E27FC236}">
              <a16:creationId xmlns:a16="http://schemas.microsoft.com/office/drawing/2014/main" id="{DFFEDE5B-CCA3-5F15-FB7F-FA801A7790CE}"/>
            </a:ext>
          </a:extLst>
        </xdr:cNvPr>
        <xdr:cNvSpPr txBox="1"/>
      </xdr:nvSpPr>
      <xdr:spPr>
        <a:xfrm>
          <a:off x="4221164" y="251114"/>
          <a:ext cx="4220441" cy="510886"/>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find the answers of these questions using the given data?</a:t>
          </a:r>
        </a:p>
      </xdr:txBody>
    </xdr:sp>
    <xdr:clientData/>
  </xdr:twoCellAnchor>
  <xdr:twoCellAnchor>
    <xdr:from>
      <xdr:col>3</xdr:col>
      <xdr:colOff>510387</xdr:colOff>
      <xdr:row>23</xdr:row>
      <xdr:rowOff>31465</xdr:rowOff>
    </xdr:from>
    <xdr:to>
      <xdr:col>6</xdr:col>
      <xdr:colOff>2144761</xdr:colOff>
      <xdr:row>27</xdr:row>
      <xdr:rowOff>99293</xdr:rowOff>
    </xdr:to>
    <xdr:sp macro="" textlink="">
      <xdr:nvSpPr>
        <xdr:cNvPr id="3" name="TextBox 2">
          <a:extLst>
            <a:ext uri="{FF2B5EF4-FFF2-40B4-BE49-F238E27FC236}">
              <a16:creationId xmlns:a16="http://schemas.microsoft.com/office/drawing/2014/main" id="{B6F92487-8244-7A63-8E69-B71655BC53E1}"/>
            </a:ext>
          </a:extLst>
        </xdr:cNvPr>
        <xdr:cNvSpPr txBox="1"/>
      </xdr:nvSpPr>
      <xdr:spPr>
        <a:xfrm>
          <a:off x="2837925" y="4478852"/>
          <a:ext cx="4212569" cy="841287"/>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Q2. Using the SUMIFS function, calculate the total sales for:</a:t>
          </a:r>
        </a:p>
        <a:p>
          <a:r>
            <a:rPr lang="en-US" sz="1200" b="1"/>
            <a:t>1. North region selling Product A.</a:t>
          </a:r>
        </a:p>
        <a:p>
          <a:r>
            <a:rPr lang="en-US" sz="1200" b="1"/>
            <a:t>2. South region selling Product B.</a:t>
          </a:r>
        </a:p>
        <a:p>
          <a:endParaRPr lang="en-US" sz="12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189766</xdr:colOff>
      <xdr:row>1</xdr:row>
      <xdr:rowOff>1760</xdr:rowOff>
    </xdr:from>
    <xdr:to>
      <xdr:col>9</xdr:col>
      <xdr:colOff>489437</xdr:colOff>
      <xdr:row>8</xdr:row>
      <xdr:rowOff>46464</xdr:rowOff>
    </xdr:to>
    <xdr:sp macro="" textlink="">
      <xdr:nvSpPr>
        <xdr:cNvPr id="2" name="TextBox 1">
          <a:extLst>
            <a:ext uri="{FF2B5EF4-FFF2-40B4-BE49-F238E27FC236}">
              <a16:creationId xmlns:a16="http://schemas.microsoft.com/office/drawing/2014/main" id="{67CCEB29-6B32-2D0E-F06C-BD76F4F6D3E4}"/>
            </a:ext>
          </a:extLst>
        </xdr:cNvPr>
        <xdr:cNvSpPr txBox="1"/>
      </xdr:nvSpPr>
      <xdr:spPr>
        <a:xfrm>
          <a:off x="189766" y="187614"/>
          <a:ext cx="5735891" cy="1345679"/>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400" b="1"/>
            <a:t>MAXIFS: </a:t>
          </a:r>
          <a:r>
            <a:rPr lang="en-US" sz="1400" b="0"/>
            <a:t>Finds the max value based on conditions.</a:t>
          </a:r>
        </a:p>
        <a:p>
          <a:r>
            <a:rPr lang="en-US" sz="1400" b="1"/>
            <a:t>	</a:t>
          </a:r>
          <a:r>
            <a:rPr lang="en-US" sz="1400" b="0" i="1"/>
            <a:t>=MAXIFS(max_range, criteria_range1, criteria1, ...)</a:t>
          </a:r>
        </a:p>
        <a:p>
          <a:r>
            <a:rPr lang="en-US" sz="1400" b="1"/>
            <a:t>MINIFS: </a:t>
          </a:r>
          <a:r>
            <a:rPr lang="en-US" sz="1400" b="0"/>
            <a:t>Finds the min value based on conditions.</a:t>
          </a:r>
        </a:p>
        <a:p>
          <a:r>
            <a:rPr lang="en-US" sz="1400" b="0"/>
            <a:t>	</a:t>
          </a:r>
          <a:r>
            <a:rPr lang="en-US" sz="1400" b="0" i="1"/>
            <a:t>=MINIFS(min_range, criteria_range1, criteria1, ...)</a:t>
          </a:r>
        </a:p>
        <a:p>
          <a:endParaRPr lang="en-US" sz="12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0ED4-0E58-4066-B01E-10510BC5FFAB}">
  <dimension ref="A2:E81"/>
  <sheetViews>
    <sheetView tabSelected="1" zoomScale="122" zoomScaleNormal="100" workbookViewId="0">
      <selection activeCell="E11" sqref="E11"/>
    </sheetView>
  </sheetViews>
  <sheetFormatPr defaultRowHeight="15" x14ac:dyDescent="0.25"/>
  <cols>
    <col min="1" max="1" width="15.28515625" customWidth="1"/>
    <col min="2" max="2" width="14.5703125" bestFit="1" customWidth="1"/>
    <col min="3" max="4" width="10.5703125" bestFit="1" customWidth="1"/>
    <col min="6" max="6" width="11.42578125" customWidth="1"/>
    <col min="7" max="7" width="13.7109375" customWidth="1"/>
    <col min="8" max="8" width="12.7109375" customWidth="1"/>
  </cols>
  <sheetData>
    <row r="2" spans="1:4" s="58" customFormat="1" ht="15.75" x14ac:dyDescent="0.25">
      <c r="A2" s="58" t="s">
        <v>193</v>
      </c>
    </row>
    <row r="3" spans="1:4" s="58" customFormat="1" ht="15.75" x14ac:dyDescent="0.25">
      <c r="A3" s="59" t="s">
        <v>192</v>
      </c>
    </row>
    <row r="5" spans="1:4" x14ac:dyDescent="0.25">
      <c r="A5" s="25" t="s">
        <v>191</v>
      </c>
    </row>
    <row r="6" spans="1:4" x14ac:dyDescent="0.25">
      <c r="A6" s="31">
        <v>2015</v>
      </c>
      <c r="B6" s="25">
        <v>2016</v>
      </c>
      <c r="C6" s="25" t="s">
        <v>166</v>
      </c>
      <c r="D6" s="25" t="s">
        <v>140</v>
      </c>
    </row>
    <row r="7" spans="1:4" x14ac:dyDescent="0.25">
      <c r="A7" s="30">
        <v>4147</v>
      </c>
      <c r="B7" s="30">
        <v>3288</v>
      </c>
      <c r="C7" s="4"/>
      <c r="D7" s="4"/>
    </row>
    <row r="8" spans="1:4" x14ac:dyDescent="0.25">
      <c r="A8" s="29">
        <v>14745</v>
      </c>
      <c r="B8" s="29">
        <v>14518</v>
      </c>
      <c r="C8" s="1"/>
      <c r="D8" s="1"/>
    </row>
    <row r="9" spans="1:4" x14ac:dyDescent="0.25">
      <c r="A9" s="29">
        <v>6900</v>
      </c>
      <c r="B9" s="29">
        <v>10023</v>
      </c>
      <c r="C9" s="1"/>
      <c r="D9" s="1"/>
    </row>
    <row r="10" spans="1:4" x14ac:dyDescent="0.25">
      <c r="A10" s="29">
        <v>14062</v>
      </c>
      <c r="B10" s="29">
        <v>6561</v>
      </c>
      <c r="C10" s="1"/>
      <c r="D10" s="1"/>
    </row>
    <row r="11" spans="1:4" x14ac:dyDescent="0.25">
      <c r="A11" s="29">
        <v>1890</v>
      </c>
      <c r="B11" s="29">
        <v>9920</v>
      </c>
      <c r="C11" s="1"/>
      <c r="D11" s="1"/>
    </row>
    <row r="12" spans="1:4" x14ac:dyDescent="0.25">
      <c r="A12" s="29">
        <v>2485</v>
      </c>
      <c r="B12" s="29">
        <v>8328</v>
      </c>
      <c r="C12" s="1"/>
      <c r="D12" s="1"/>
    </row>
    <row r="13" spans="1:4" x14ac:dyDescent="0.25">
      <c r="A13" s="29">
        <v>11251</v>
      </c>
      <c r="B13" s="29">
        <v>13180</v>
      </c>
      <c r="C13" s="1"/>
      <c r="D13" s="1"/>
    </row>
    <row r="14" spans="1:4" x14ac:dyDescent="0.25">
      <c r="A14" s="29">
        <v>11686</v>
      </c>
      <c r="B14" s="29">
        <v>12560</v>
      </c>
      <c r="C14" s="1"/>
      <c r="D14" s="1"/>
    </row>
    <row r="15" spans="1:4" x14ac:dyDescent="0.25">
      <c r="A15" s="29">
        <v>13388</v>
      </c>
      <c r="B15" s="29">
        <v>9018</v>
      </c>
      <c r="C15" s="1"/>
      <c r="D15" s="1"/>
    </row>
    <row r="16" spans="1:4" x14ac:dyDescent="0.25">
      <c r="A16" s="29">
        <v>2426</v>
      </c>
      <c r="B16" s="29">
        <v>4486</v>
      </c>
      <c r="C16" s="1"/>
      <c r="D16" s="1"/>
    </row>
    <row r="17" spans="1:5" x14ac:dyDescent="0.25">
      <c r="A17" s="29">
        <v>1010</v>
      </c>
      <c r="B17" s="29">
        <v>2909</v>
      </c>
      <c r="C17" s="1"/>
      <c r="D17" s="1"/>
    </row>
    <row r="21" spans="1:5" x14ac:dyDescent="0.25">
      <c r="A21" s="50" t="s">
        <v>190</v>
      </c>
      <c r="B21" s="50"/>
    </row>
    <row r="22" spans="1:5" x14ac:dyDescent="0.25">
      <c r="A22" s="25" t="s">
        <v>188</v>
      </c>
      <c r="B22" s="26" t="s">
        <v>187</v>
      </c>
      <c r="C22" s="25" t="s">
        <v>139</v>
      </c>
      <c r="D22" s="25" t="s">
        <v>140</v>
      </c>
      <c r="E22" s="25" t="s">
        <v>186</v>
      </c>
    </row>
    <row r="23" spans="1:5" x14ac:dyDescent="0.25">
      <c r="A23" s="4">
        <v>450</v>
      </c>
      <c r="B23" s="4">
        <v>7</v>
      </c>
      <c r="C23" s="4"/>
      <c r="D23" s="4"/>
      <c r="E23" s="4"/>
    </row>
    <row r="24" spans="1:5" x14ac:dyDescent="0.25">
      <c r="A24" s="1">
        <v>425</v>
      </c>
      <c r="B24" s="1">
        <v>2</v>
      </c>
      <c r="C24" s="1"/>
      <c r="D24" s="1"/>
      <c r="E24" s="1"/>
    </row>
    <row r="25" spans="1:5" x14ac:dyDescent="0.25">
      <c r="A25" s="1">
        <v>500</v>
      </c>
      <c r="B25" s="1">
        <v>3</v>
      </c>
      <c r="C25" s="1"/>
      <c r="D25" s="1"/>
      <c r="E25" s="1"/>
    </row>
    <row r="26" spans="1:5" x14ac:dyDescent="0.25">
      <c r="A26" s="1">
        <v>350</v>
      </c>
      <c r="B26" s="1">
        <v>4</v>
      </c>
      <c r="C26" s="1"/>
      <c r="D26" s="1"/>
      <c r="E26" s="1"/>
    </row>
    <row r="27" spans="1:5" x14ac:dyDescent="0.25">
      <c r="A27" s="1">
        <v>350</v>
      </c>
      <c r="B27" s="1">
        <v>5</v>
      </c>
      <c r="C27" s="1"/>
      <c r="D27" s="1"/>
      <c r="E27" s="1"/>
    </row>
    <row r="28" spans="1:5" x14ac:dyDescent="0.25">
      <c r="A28" s="1">
        <v>450</v>
      </c>
      <c r="B28" s="1">
        <v>4</v>
      </c>
      <c r="C28" s="1"/>
      <c r="D28" s="1"/>
      <c r="E28" s="1"/>
    </row>
    <row r="29" spans="1:5" x14ac:dyDescent="0.25">
      <c r="A29" s="1">
        <v>500</v>
      </c>
      <c r="B29" s="1">
        <v>3</v>
      </c>
      <c r="C29" s="1"/>
      <c r="D29" s="1"/>
      <c r="E29" s="1"/>
    </row>
    <row r="30" spans="1:5" x14ac:dyDescent="0.25">
      <c r="A30" s="1">
        <v>250</v>
      </c>
      <c r="B30" s="1">
        <v>2</v>
      </c>
      <c r="C30" s="1"/>
      <c r="D30" s="1"/>
      <c r="E30" s="1"/>
    </row>
    <row r="31" spans="1:5" x14ac:dyDescent="0.25">
      <c r="A31" s="1">
        <v>300</v>
      </c>
      <c r="B31" s="1">
        <v>1</v>
      </c>
      <c r="C31" s="1"/>
      <c r="D31" s="1"/>
      <c r="E31" s="1"/>
    </row>
    <row r="32" spans="1:5" x14ac:dyDescent="0.25">
      <c r="A32" s="1">
        <v>600</v>
      </c>
      <c r="B32" s="1">
        <v>3</v>
      </c>
      <c r="C32" s="1"/>
      <c r="D32" s="1"/>
      <c r="E32" s="1"/>
    </row>
    <row r="33" spans="1:5" x14ac:dyDescent="0.25">
      <c r="A33" s="1">
        <v>700</v>
      </c>
      <c r="B33" s="1">
        <v>4</v>
      </c>
      <c r="C33" s="1"/>
      <c r="D33" s="1"/>
      <c r="E33" s="1"/>
    </row>
    <row r="34" spans="1:5" x14ac:dyDescent="0.25">
      <c r="A34" s="1">
        <v>600</v>
      </c>
      <c r="B34" s="1">
        <v>5</v>
      </c>
      <c r="C34" s="1"/>
      <c r="D34" s="1"/>
      <c r="E34" s="1"/>
    </row>
    <row r="35" spans="1:5" x14ac:dyDescent="0.25">
      <c r="A35" s="1">
        <v>450</v>
      </c>
      <c r="B35" s="1">
        <v>3</v>
      </c>
      <c r="C35" s="1"/>
      <c r="D35" s="1"/>
      <c r="E35" s="1"/>
    </row>
    <row r="36" spans="1:5" x14ac:dyDescent="0.25">
      <c r="A36" s="1">
        <v>300</v>
      </c>
      <c r="B36" s="1">
        <v>5</v>
      </c>
      <c r="C36" s="1"/>
      <c r="D36" s="1"/>
      <c r="E36" s="1"/>
    </row>
    <row r="37" spans="1:5" x14ac:dyDescent="0.25">
      <c r="A37" s="1">
        <v>700</v>
      </c>
      <c r="B37" s="1">
        <v>7</v>
      </c>
      <c r="C37" s="1"/>
      <c r="D37" s="1"/>
      <c r="E37" s="1"/>
    </row>
    <row r="38" spans="1:5" x14ac:dyDescent="0.25">
      <c r="A38" s="1">
        <v>650</v>
      </c>
      <c r="B38" s="1">
        <v>4</v>
      </c>
      <c r="C38" s="1"/>
      <c r="D38" s="1"/>
      <c r="E38" s="1"/>
    </row>
    <row r="39" spans="1:5" x14ac:dyDescent="0.25">
      <c r="A39" s="1">
        <v>700</v>
      </c>
      <c r="B39" s="1">
        <v>5</v>
      </c>
      <c r="C39" s="1"/>
      <c r="D39" s="1"/>
      <c r="E39" s="1"/>
    </row>
    <row r="40" spans="1:5" x14ac:dyDescent="0.25">
      <c r="A40" s="1">
        <v>450</v>
      </c>
      <c r="B40" s="1">
        <v>7</v>
      </c>
      <c r="C40" s="1"/>
      <c r="D40" s="1"/>
      <c r="E40" s="1"/>
    </row>
    <row r="43" spans="1:5" x14ac:dyDescent="0.25">
      <c r="A43" s="25" t="s">
        <v>189</v>
      </c>
    </row>
    <row r="44" spans="1:5" x14ac:dyDescent="0.25">
      <c r="A44" s="26" t="s">
        <v>188</v>
      </c>
      <c r="B44" s="25" t="s">
        <v>187</v>
      </c>
      <c r="C44" s="25" t="s">
        <v>139</v>
      </c>
      <c r="D44" s="25" t="s">
        <v>140</v>
      </c>
      <c r="E44" s="25" t="s">
        <v>186</v>
      </c>
    </row>
    <row r="45" spans="1:5" x14ac:dyDescent="0.25">
      <c r="A45" s="4">
        <v>450</v>
      </c>
      <c r="B45" s="4">
        <v>7</v>
      </c>
      <c r="C45" s="4"/>
      <c r="D45" s="4"/>
      <c r="E45" s="4"/>
    </row>
    <row r="46" spans="1:5" x14ac:dyDescent="0.25">
      <c r="A46" s="1">
        <v>425</v>
      </c>
      <c r="B46" s="1">
        <v>2</v>
      </c>
      <c r="C46" s="1"/>
      <c r="D46" s="1"/>
      <c r="E46" s="1"/>
    </row>
    <row r="47" spans="1:5" x14ac:dyDescent="0.25">
      <c r="A47" s="1">
        <v>500</v>
      </c>
      <c r="B47" s="1">
        <v>3</v>
      </c>
      <c r="C47" s="1"/>
      <c r="D47" s="1"/>
      <c r="E47" s="1"/>
    </row>
    <row r="48" spans="1:5" x14ac:dyDescent="0.25">
      <c r="A48" s="1">
        <v>350</v>
      </c>
      <c r="B48" s="1">
        <v>4</v>
      </c>
      <c r="C48" s="1"/>
      <c r="D48" s="1"/>
      <c r="E48" s="1"/>
    </row>
    <row r="49" spans="1:5" x14ac:dyDescent="0.25">
      <c r="A49" s="1">
        <v>350</v>
      </c>
      <c r="B49" s="1">
        <v>5</v>
      </c>
      <c r="C49" s="1"/>
      <c r="D49" s="1"/>
      <c r="E49" s="1"/>
    </row>
    <row r="50" spans="1:5" x14ac:dyDescent="0.25">
      <c r="A50" s="1">
        <v>450</v>
      </c>
      <c r="B50" s="1">
        <v>4</v>
      </c>
      <c r="C50" s="1"/>
      <c r="D50" s="1"/>
      <c r="E50" s="1"/>
    </row>
    <row r="51" spans="1:5" x14ac:dyDescent="0.25">
      <c r="A51" s="1">
        <v>500</v>
      </c>
      <c r="B51" s="1">
        <v>3</v>
      </c>
      <c r="C51" s="1"/>
      <c r="D51" s="1"/>
      <c r="E51" s="1"/>
    </row>
    <row r="52" spans="1:5" x14ac:dyDescent="0.25">
      <c r="A52" s="1">
        <v>250</v>
      </c>
      <c r="B52" s="1">
        <v>2</v>
      </c>
      <c r="C52" s="1"/>
      <c r="D52" s="1"/>
      <c r="E52" s="1"/>
    </row>
    <row r="53" spans="1:5" x14ac:dyDescent="0.25">
      <c r="A53" s="1">
        <v>300</v>
      </c>
      <c r="B53" s="1">
        <v>1</v>
      </c>
      <c r="C53" s="1"/>
      <c r="D53" s="1"/>
      <c r="E53" s="1"/>
    </row>
    <row r="54" spans="1:5" x14ac:dyDescent="0.25">
      <c r="A54" s="1">
        <v>600</v>
      </c>
      <c r="B54" s="1">
        <v>3</v>
      </c>
      <c r="C54" s="1"/>
      <c r="D54" s="1"/>
      <c r="E54" s="1"/>
    </row>
    <row r="55" spans="1:5" x14ac:dyDescent="0.25">
      <c r="A55" s="1">
        <v>700</v>
      </c>
      <c r="B55" s="1">
        <v>4</v>
      </c>
      <c r="C55" s="1"/>
      <c r="D55" s="1"/>
      <c r="E55" s="1"/>
    </row>
    <row r="56" spans="1:5" x14ac:dyDescent="0.25">
      <c r="A56" s="1">
        <v>600</v>
      </c>
      <c r="B56" s="1">
        <v>5</v>
      </c>
      <c r="C56" s="1"/>
      <c r="D56" s="1"/>
      <c r="E56" s="1"/>
    </row>
    <row r="57" spans="1:5" x14ac:dyDescent="0.25">
      <c r="A57" s="1">
        <v>450</v>
      </c>
      <c r="B57" s="1">
        <v>3</v>
      </c>
      <c r="C57" s="1"/>
      <c r="D57" s="1"/>
      <c r="E57" s="1"/>
    </row>
    <row r="58" spans="1:5" x14ac:dyDescent="0.25">
      <c r="A58" s="1">
        <v>300</v>
      </c>
      <c r="B58" s="1">
        <v>5</v>
      </c>
      <c r="C58" s="1"/>
      <c r="D58" s="1"/>
      <c r="E58" s="1"/>
    </row>
    <row r="59" spans="1:5" x14ac:dyDescent="0.25">
      <c r="A59" s="1">
        <v>700</v>
      </c>
      <c r="B59" s="1">
        <v>7</v>
      </c>
      <c r="C59" s="1"/>
      <c r="D59" s="1"/>
      <c r="E59" s="1"/>
    </row>
    <row r="60" spans="1:5" x14ac:dyDescent="0.25">
      <c r="A60" s="1">
        <v>650</v>
      </c>
      <c r="B60" s="1">
        <v>4</v>
      </c>
      <c r="C60" s="1"/>
      <c r="D60" s="1"/>
      <c r="E60" s="1"/>
    </row>
    <row r="61" spans="1:5" x14ac:dyDescent="0.25">
      <c r="A61" s="1">
        <v>700</v>
      </c>
      <c r="B61" s="1">
        <v>5</v>
      </c>
      <c r="C61" s="1"/>
      <c r="D61" s="1"/>
      <c r="E61" s="1"/>
    </row>
    <row r="62" spans="1:5" x14ac:dyDescent="0.25">
      <c r="A62" s="1">
        <v>450</v>
      </c>
      <c r="B62" s="1">
        <v>7</v>
      </c>
      <c r="C62" s="1"/>
      <c r="D62" s="1"/>
      <c r="E62" s="1"/>
    </row>
    <row r="65" spans="1:5" x14ac:dyDescent="0.25">
      <c r="A65" s="27">
        <v>6</v>
      </c>
    </row>
    <row r="66" spans="1:5" x14ac:dyDescent="0.25">
      <c r="A66" s="26" t="s">
        <v>185</v>
      </c>
      <c r="B66" s="25" t="s">
        <v>153</v>
      </c>
      <c r="C66" s="25" t="s">
        <v>184</v>
      </c>
      <c r="D66" s="25" t="s">
        <v>183</v>
      </c>
      <c r="E66" s="25" t="s">
        <v>182</v>
      </c>
    </row>
    <row r="67" spans="1:5" x14ac:dyDescent="0.25">
      <c r="A67" s="4" t="s">
        <v>181</v>
      </c>
      <c r="B67" s="4">
        <v>3400</v>
      </c>
      <c r="C67" s="4"/>
      <c r="D67" s="4"/>
      <c r="E67" s="4"/>
    </row>
    <row r="68" spans="1:5" x14ac:dyDescent="0.25">
      <c r="A68" s="1" t="s">
        <v>180</v>
      </c>
      <c r="B68" s="1">
        <v>7687</v>
      </c>
      <c r="C68" s="1"/>
      <c r="D68" s="1"/>
      <c r="E68" s="1"/>
    </row>
    <row r="69" spans="1:5" x14ac:dyDescent="0.25">
      <c r="A69" s="1" t="s">
        <v>179</v>
      </c>
      <c r="B69" s="1">
        <v>3480</v>
      </c>
      <c r="C69" s="1"/>
      <c r="D69" s="1"/>
      <c r="E69" s="1"/>
    </row>
    <row r="70" spans="1:5" x14ac:dyDescent="0.25">
      <c r="A70" s="1" t="s">
        <v>178</v>
      </c>
      <c r="B70" s="1">
        <v>2634</v>
      </c>
      <c r="C70" s="1"/>
      <c r="D70" s="1"/>
      <c r="E70" s="1"/>
    </row>
    <row r="71" spans="1:5" x14ac:dyDescent="0.25">
      <c r="A71" s="1" t="s">
        <v>177</v>
      </c>
      <c r="B71" s="1">
        <v>875</v>
      </c>
      <c r="C71" s="1"/>
      <c r="D71" s="1"/>
      <c r="E71" s="1"/>
    </row>
    <row r="72" spans="1:5" x14ac:dyDescent="0.25">
      <c r="A72" s="1" t="s">
        <v>176</v>
      </c>
      <c r="B72" s="1">
        <v>3246</v>
      </c>
      <c r="C72" s="1"/>
      <c r="D72" s="1"/>
      <c r="E72" s="1"/>
    </row>
    <row r="73" spans="1:5" x14ac:dyDescent="0.25">
      <c r="A73" s="1" t="s">
        <v>175</v>
      </c>
      <c r="B73" s="1">
        <v>9000</v>
      </c>
      <c r="C73" s="1"/>
      <c r="D73" s="1"/>
      <c r="E73" s="1"/>
    </row>
    <row r="74" spans="1:5" x14ac:dyDescent="0.25">
      <c r="A74" s="1" t="s">
        <v>174</v>
      </c>
      <c r="B74" s="1">
        <v>7500</v>
      </c>
      <c r="C74" s="1"/>
      <c r="D74" s="1"/>
      <c r="E74" s="1"/>
    </row>
    <row r="75" spans="1:5" x14ac:dyDescent="0.25">
      <c r="A75" s="1" t="s">
        <v>173</v>
      </c>
      <c r="B75" s="1">
        <v>6820</v>
      </c>
      <c r="C75" s="1"/>
      <c r="D75" s="1"/>
      <c r="E75" s="1"/>
    </row>
    <row r="76" spans="1:5" x14ac:dyDescent="0.25">
      <c r="A76" s="1" t="s">
        <v>172</v>
      </c>
      <c r="B76" s="1">
        <v>12780</v>
      </c>
      <c r="C76" s="1"/>
      <c r="D76" s="1"/>
      <c r="E76" s="1"/>
    </row>
    <row r="77" spans="1:5" x14ac:dyDescent="0.25">
      <c r="A77" s="1" t="s">
        <v>171</v>
      </c>
      <c r="B77" s="1">
        <v>5000</v>
      </c>
      <c r="C77" s="1"/>
      <c r="D77" s="1"/>
      <c r="E77" s="1"/>
    </row>
    <row r="78" spans="1:5" x14ac:dyDescent="0.25">
      <c r="A78" s="1" t="s">
        <v>170</v>
      </c>
      <c r="B78" s="1">
        <v>3400</v>
      </c>
      <c r="C78" s="1"/>
      <c r="D78" s="1"/>
      <c r="E78" s="1"/>
    </row>
    <row r="79" spans="1:5" x14ac:dyDescent="0.25">
      <c r="A79" s="1" t="s">
        <v>169</v>
      </c>
      <c r="B79" s="1">
        <v>2890</v>
      </c>
      <c r="C79" s="1"/>
      <c r="D79" s="1"/>
      <c r="E79" s="1"/>
    </row>
    <row r="80" spans="1:5" x14ac:dyDescent="0.25">
      <c r="A80" s="1" t="s">
        <v>168</v>
      </c>
      <c r="B80" s="1">
        <v>5600</v>
      </c>
      <c r="C80" s="1"/>
      <c r="D80" s="1"/>
      <c r="E80" s="1"/>
    </row>
    <row r="81" spans="1:5" x14ac:dyDescent="0.25">
      <c r="A81" s="1" t="s">
        <v>167</v>
      </c>
      <c r="B81" s="1">
        <v>7800</v>
      </c>
      <c r="C81" s="1"/>
      <c r="D81" s="1"/>
      <c r="E81" s="1"/>
    </row>
  </sheetData>
  <mergeCells count="1">
    <mergeCell ref="A21:B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C569-0413-41F9-A8E2-F8D7E3108224}">
  <sheetPr codeName="Sheet1"/>
  <dimension ref="A11:H68"/>
  <sheetViews>
    <sheetView showGridLines="0" topLeftCell="A67" zoomScale="130" zoomScaleNormal="130" workbookViewId="0">
      <selection activeCell="I11" sqref="I11"/>
    </sheetView>
  </sheetViews>
  <sheetFormatPr defaultRowHeight="15" x14ac:dyDescent="0.25"/>
  <cols>
    <col min="1" max="1" width="13.85546875" bestFit="1" customWidth="1"/>
    <col min="2" max="2" width="14.140625" bestFit="1" customWidth="1"/>
    <col min="4" max="4" width="17.42578125" bestFit="1" customWidth="1"/>
    <col min="5" max="5" width="11.28515625" bestFit="1" customWidth="1"/>
    <col min="6" max="6" width="11.42578125" customWidth="1"/>
    <col min="7" max="7" width="20.85546875" customWidth="1"/>
  </cols>
  <sheetData>
    <row r="11" spans="1:6" x14ac:dyDescent="0.25">
      <c r="A11" s="50" t="s">
        <v>38</v>
      </c>
      <c r="B11" s="50"/>
      <c r="C11" s="50"/>
      <c r="E11" s="51" t="s">
        <v>16</v>
      </c>
      <c r="F11" s="51"/>
    </row>
    <row r="12" spans="1:6" x14ac:dyDescent="0.25">
      <c r="A12" s="25" t="s">
        <v>37</v>
      </c>
      <c r="B12" s="25" t="s">
        <v>35</v>
      </c>
      <c r="C12" s="25" t="s">
        <v>36</v>
      </c>
      <c r="E12" s="25" t="s">
        <v>36</v>
      </c>
      <c r="F12" s="25" t="s">
        <v>35</v>
      </c>
    </row>
    <row r="13" spans="1:6" x14ac:dyDescent="0.25">
      <c r="A13" s="4" t="s">
        <v>34</v>
      </c>
      <c r="B13" s="4">
        <v>35</v>
      </c>
      <c r="C13" s="4"/>
      <c r="E13" s="4" t="s">
        <v>33</v>
      </c>
      <c r="F13" s="4" t="s">
        <v>32</v>
      </c>
    </row>
    <row r="14" spans="1:6" x14ac:dyDescent="0.25">
      <c r="A14" s="1" t="s">
        <v>31</v>
      </c>
      <c r="B14" s="1">
        <v>60</v>
      </c>
      <c r="C14" s="1"/>
      <c r="E14" s="1" t="s">
        <v>30</v>
      </c>
      <c r="F14" s="1" t="s">
        <v>29</v>
      </c>
    </row>
    <row r="15" spans="1:6" x14ac:dyDescent="0.25">
      <c r="A15" s="1" t="s">
        <v>28</v>
      </c>
      <c r="B15" s="1">
        <v>92</v>
      </c>
      <c r="C15" s="1"/>
      <c r="E15" s="1" t="s">
        <v>27</v>
      </c>
      <c r="F15" s="1" t="s">
        <v>26</v>
      </c>
    </row>
    <row r="16" spans="1:6" x14ac:dyDescent="0.25">
      <c r="A16" s="1" t="s">
        <v>25</v>
      </c>
      <c r="B16" s="1">
        <v>74</v>
      </c>
      <c r="C16" s="1"/>
      <c r="E16" s="1" t="s">
        <v>24</v>
      </c>
      <c r="F16" s="1" t="s">
        <v>23</v>
      </c>
    </row>
    <row r="17" spans="1:8" x14ac:dyDescent="0.25">
      <c r="A17" s="1" t="s">
        <v>22</v>
      </c>
      <c r="B17" s="1">
        <v>85</v>
      </c>
      <c r="C17" s="1"/>
    </row>
    <row r="18" spans="1:8" x14ac:dyDescent="0.25">
      <c r="A18" s="1" t="s">
        <v>21</v>
      </c>
      <c r="B18" s="1">
        <v>48</v>
      </c>
      <c r="C18" s="1"/>
    </row>
    <row r="19" spans="1:8" x14ac:dyDescent="0.25">
      <c r="A19" s="1" t="s">
        <v>20</v>
      </c>
      <c r="B19" s="1">
        <v>64</v>
      </c>
      <c r="C19" s="1"/>
    </row>
    <row r="20" spans="1:8" x14ac:dyDescent="0.25">
      <c r="A20" s="1" t="s">
        <v>19</v>
      </c>
      <c r="B20" s="1">
        <v>97</v>
      </c>
      <c r="C20" s="1"/>
    </row>
    <row r="21" spans="1:8" x14ac:dyDescent="0.25">
      <c r="A21" s="1" t="s">
        <v>18</v>
      </c>
      <c r="B21" s="1">
        <v>22</v>
      </c>
      <c r="C21" s="1"/>
    </row>
    <row r="25" spans="1:8" x14ac:dyDescent="0.25">
      <c r="A25" s="51" t="s">
        <v>17</v>
      </c>
      <c r="B25" s="51"/>
      <c r="C25" s="51"/>
      <c r="D25" s="51"/>
      <c r="F25" s="51" t="s">
        <v>16</v>
      </c>
      <c r="G25" s="51"/>
      <c r="H25" s="51"/>
    </row>
    <row r="26" spans="1:8" x14ac:dyDescent="0.25">
      <c r="A26" s="25" t="s">
        <v>15</v>
      </c>
      <c r="B26" s="25" t="s">
        <v>13</v>
      </c>
      <c r="C26" s="25" t="s">
        <v>12</v>
      </c>
      <c r="D26" s="25" t="s">
        <v>14</v>
      </c>
      <c r="F26" s="51" t="s">
        <v>13</v>
      </c>
      <c r="G26" s="51"/>
      <c r="H26" s="25" t="s">
        <v>12</v>
      </c>
    </row>
    <row r="27" spans="1:8" x14ac:dyDescent="0.25">
      <c r="A27" s="4" t="s">
        <v>11</v>
      </c>
      <c r="B27" s="41">
        <v>9750</v>
      </c>
      <c r="C27" s="4"/>
      <c r="D27" s="41"/>
      <c r="F27" s="52" t="s">
        <v>10</v>
      </c>
      <c r="G27" s="52"/>
      <c r="H27" s="36">
        <v>0.05</v>
      </c>
    </row>
    <row r="28" spans="1:8" x14ac:dyDescent="0.25">
      <c r="A28" s="1" t="s">
        <v>9</v>
      </c>
      <c r="B28" s="6">
        <v>5159</v>
      </c>
      <c r="C28" s="1"/>
      <c r="D28" s="6"/>
      <c r="F28" s="53" t="s">
        <v>8</v>
      </c>
      <c r="G28" s="53"/>
      <c r="H28" s="3">
        <v>0.1</v>
      </c>
    </row>
    <row r="29" spans="1:8" x14ac:dyDescent="0.25">
      <c r="A29" s="1" t="s">
        <v>7</v>
      </c>
      <c r="B29" s="6">
        <v>7774</v>
      </c>
      <c r="C29" s="1"/>
      <c r="D29" s="6"/>
      <c r="F29" s="53" t="s">
        <v>6</v>
      </c>
      <c r="G29" s="53"/>
      <c r="H29" s="3">
        <v>0.2</v>
      </c>
    </row>
    <row r="30" spans="1:8" x14ac:dyDescent="0.25">
      <c r="A30" s="1" t="s">
        <v>5</v>
      </c>
      <c r="B30" s="6">
        <v>6207</v>
      </c>
      <c r="C30" s="1"/>
      <c r="D30" s="6"/>
    </row>
    <row r="31" spans="1:8" x14ac:dyDescent="0.25">
      <c r="A31" s="1" t="s">
        <v>4</v>
      </c>
      <c r="B31" s="6">
        <v>1980</v>
      </c>
      <c r="C31" s="1"/>
      <c r="D31" s="6"/>
      <c r="H31" s="2"/>
    </row>
    <row r="32" spans="1:8" x14ac:dyDescent="0.25">
      <c r="A32" s="1" t="s">
        <v>3</v>
      </c>
      <c r="B32" s="6">
        <v>4095</v>
      </c>
      <c r="C32" s="1"/>
      <c r="D32" s="6"/>
    </row>
    <row r="33" spans="1:5" x14ac:dyDescent="0.25">
      <c r="A33" s="1" t="s">
        <v>2</v>
      </c>
      <c r="B33" s="6">
        <v>2800</v>
      </c>
      <c r="C33" s="1"/>
      <c r="D33" s="6"/>
    </row>
    <row r="34" spans="1:5" x14ac:dyDescent="0.25">
      <c r="A34" s="1" t="s">
        <v>1</v>
      </c>
      <c r="B34" s="6">
        <v>4925</v>
      </c>
      <c r="C34" s="1"/>
      <c r="D34" s="6"/>
    </row>
    <row r="35" spans="1:5" x14ac:dyDescent="0.25">
      <c r="A35" s="7" t="s">
        <v>0</v>
      </c>
      <c r="B35" s="6">
        <v>5928</v>
      </c>
      <c r="C35" s="1"/>
      <c r="D35" s="6"/>
    </row>
    <row r="36" spans="1:5" x14ac:dyDescent="0.25">
      <c r="A36" s="25" t="s">
        <v>48</v>
      </c>
      <c r="B36" s="42">
        <f>SUM(B27:B35)</f>
        <v>48618</v>
      </c>
      <c r="C36" s="39">
        <f t="shared" ref="C36:D36" si="0">SUM(C27:C35)</f>
        <v>0</v>
      </c>
      <c r="D36" s="42">
        <f t="shared" si="0"/>
        <v>0</v>
      </c>
    </row>
    <row r="39" spans="1:5" x14ac:dyDescent="0.25">
      <c r="A39" s="51" t="s">
        <v>47</v>
      </c>
      <c r="B39" s="51"/>
    </row>
    <row r="40" spans="1:5" x14ac:dyDescent="0.25">
      <c r="A40" s="25" t="s">
        <v>14</v>
      </c>
      <c r="B40" s="25" t="s">
        <v>46</v>
      </c>
      <c r="D40" s="25" t="s">
        <v>16</v>
      </c>
      <c r="E40" s="25" t="s">
        <v>45</v>
      </c>
    </row>
    <row r="41" spans="1:5" x14ac:dyDescent="0.25">
      <c r="A41" s="38">
        <v>414</v>
      </c>
      <c r="B41" s="4"/>
      <c r="D41" s="9" t="s">
        <v>42</v>
      </c>
      <c r="E41" s="4" t="s">
        <v>39</v>
      </c>
    </row>
    <row r="42" spans="1:5" x14ac:dyDescent="0.25">
      <c r="A42" s="8">
        <v>670</v>
      </c>
      <c r="B42" s="1"/>
      <c r="D42" s="10" t="s">
        <v>43</v>
      </c>
      <c r="E42" s="1" t="s">
        <v>40</v>
      </c>
    </row>
    <row r="43" spans="1:5" x14ac:dyDescent="0.25">
      <c r="A43" s="8">
        <v>2571</v>
      </c>
      <c r="B43" s="1"/>
      <c r="D43" s="10" t="s">
        <v>44</v>
      </c>
      <c r="E43" s="1" t="s">
        <v>41</v>
      </c>
    </row>
    <row r="44" spans="1:5" x14ac:dyDescent="0.25">
      <c r="A44" s="8">
        <v>227</v>
      </c>
      <c r="B44" s="1"/>
    </row>
    <row r="45" spans="1:5" x14ac:dyDescent="0.25">
      <c r="A45" s="8">
        <v>516</v>
      </c>
      <c r="B45" s="1"/>
    </row>
    <row r="46" spans="1:5" x14ac:dyDescent="0.25">
      <c r="A46" s="8">
        <v>2972</v>
      </c>
      <c r="B46" s="1"/>
    </row>
    <row r="47" spans="1:5" x14ac:dyDescent="0.25">
      <c r="A47" s="8">
        <v>870</v>
      </c>
      <c r="B47" s="1"/>
    </row>
    <row r="48" spans="1:5" x14ac:dyDescent="0.25">
      <c r="A48" s="8">
        <v>2097</v>
      </c>
      <c r="B48" s="1"/>
    </row>
    <row r="49" spans="1:6" x14ac:dyDescent="0.25">
      <c r="A49" s="8">
        <v>200</v>
      </c>
      <c r="B49" s="1"/>
    </row>
    <row r="50" spans="1:6" x14ac:dyDescent="0.25">
      <c r="A50" s="8">
        <v>126</v>
      </c>
      <c r="B50" s="1"/>
    </row>
    <row r="51" spans="1:6" x14ac:dyDescent="0.25">
      <c r="A51" s="8">
        <v>1549</v>
      </c>
      <c r="B51" s="1"/>
    </row>
    <row r="55" spans="1:6" x14ac:dyDescent="0.25">
      <c r="A55" s="25" t="s">
        <v>49</v>
      </c>
    </row>
    <row r="56" spans="1:6" x14ac:dyDescent="0.25">
      <c r="A56" s="26" t="s">
        <v>50</v>
      </c>
      <c r="B56" s="25" t="s">
        <v>14</v>
      </c>
      <c r="C56" s="25" t="s">
        <v>70</v>
      </c>
      <c r="E56" s="25" t="s">
        <v>63</v>
      </c>
      <c r="F56" s="25" t="s">
        <v>70</v>
      </c>
    </row>
    <row r="57" spans="1:6" x14ac:dyDescent="0.25">
      <c r="A57" s="9" t="s">
        <v>51</v>
      </c>
      <c r="B57" s="41">
        <v>30</v>
      </c>
      <c r="C57" s="4"/>
      <c r="E57" s="4" t="s">
        <v>64</v>
      </c>
      <c r="F57" s="4" t="s">
        <v>39</v>
      </c>
    </row>
    <row r="58" spans="1:6" x14ac:dyDescent="0.25">
      <c r="A58" s="10" t="s">
        <v>52</v>
      </c>
      <c r="B58" s="6">
        <v>1880</v>
      </c>
      <c r="C58" s="1"/>
      <c r="E58" s="1" t="s">
        <v>65</v>
      </c>
      <c r="F58" s="1" t="s">
        <v>66</v>
      </c>
    </row>
    <row r="59" spans="1:6" x14ac:dyDescent="0.25">
      <c r="A59" s="10" t="s">
        <v>53</v>
      </c>
      <c r="B59" s="6">
        <v>821</v>
      </c>
      <c r="C59" s="1"/>
      <c r="E59" s="1" t="s">
        <v>67</v>
      </c>
      <c r="F59" s="1" t="s">
        <v>68</v>
      </c>
    </row>
    <row r="60" spans="1:6" x14ac:dyDescent="0.25">
      <c r="A60" s="10" t="s">
        <v>54</v>
      </c>
      <c r="B60" s="6">
        <v>450</v>
      </c>
      <c r="C60" s="1"/>
      <c r="E60" s="1" t="s">
        <v>69</v>
      </c>
      <c r="F60" s="1" t="s">
        <v>71</v>
      </c>
    </row>
    <row r="61" spans="1:6" x14ac:dyDescent="0.25">
      <c r="A61" s="10" t="s">
        <v>55</v>
      </c>
      <c r="B61" s="6">
        <v>1073</v>
      </c>
      <c r="C61" s="1"/>
    </row>
    <row r="62" spans="1:6" x14ac:dyDescent="0.25">
      <c r="A62" s="10" t="s">
        <v>56</v>
      </c>
      <c r="B62" s="6">
        <v>500</v>
      </c>
      <c r="C62" s="1"/>
    </row>
    <row r="63" spans="1:6" x14ac:dyDescent="0.25">
      <c r="A63" s="10" t="s">
        <v>57</v>
      </c>
      <c r="B63" s="6">
        <v>9000</v>
      </c>
      <c r="C63" s="1"/>
    </row>
    <row r="64" spans="1:6" x14ac:dyDescent="0.25">
      <c r="A64" s="10" t="s">
        <v>58</v>
      </c>
      <c r="B64" s="6">
        <v>945</v>
      </c>
      <c r="C64" s="1"/>
    </row>
    <row r="65" spans="1:3" x14ac:dyDescent="0.25">
      <c r="A65" s="10" t="s">
        <v>59</v>
      </c>
      <c r="B65" s="6">
        <v>320</v>
      </c>
      <c r="C65" s="1"/>
    </row>
    <row r="66" spans="1:3" x14ac:dyDescent="0.25">
      <c r="A66" s="10" t="s">
        <v>60</v>
      </c>
      <c r="B66" s="6">
        <v>1233</v>
      </c>
      <c r="C66" s="1"/>
    </row>
    <row r="67" spans="1:3" x14ac:dyDescent="0.25">
      <c r="A67" s="10" t="s">
        <v>61</v>
      </c>
      <c r="B67" s="6">
        <v>2560</v>
      </c>
      <c r="C67" s="1"/>
    </row>
    <row r="68" spans="1:3" x14ac:dyDescent="0.25">
      <c r="A68" s="10" t="s">
        <v>62</v>
      </c>
      <c r="B68" s="6">
        <v>1965</v>
      </c>
      <c r="C68" s="1"/>
    </row>
  </sheetData>
  <mergeCells count="9">
    <mergeCell ref="A39:B39"/>
    <mergeCell ref="A11:C11"/>
    <mergeCell ref="F26:G26"/>
    <mergeCell ref="F27:G27"/>
    <mergeCell ref="F28:G28"/>
    <mergeCell ref="F29:G29"/>
    <mergeCell ref="A25:D25"/>
    <mergeCell ref="F25:H25"/>
    <mergeCell ref="E11:F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7BFA-0B40-4DB6-872D-F626EFD826E3}">
  <dimension ref="A2:F15"/>
  <sheetViews>
    <sheetView zoomScale="145" zoomScaleNormal="145" workbookViewId="0">
      <selection activeCell="J14" sqref="J14"/>
    </sheetView>
  </sheetViews>
  <sheetFormatPr defaultRowHeight="15" x14ac:dyDescent="0.25"/>
  <cols>
    <col min="1" max="1" width="14.140625" bestFit="1" customWidth="1"/>
  </cols>
  <sheetData>
    <row r="2" spans="1:6" s="32" customFormat="1" ht="16.5" thickBot="1" x14ac:dyDescent="0.3">
      <c r="A2" s="32" t="s">
        <v>194</v>
      </c>
    </row>
    <row r="3" spans="1:6" s="49" customFormat="1" ht="17.25" thickTop="1" thickBot="1" x14ac:dyDescent="0.3">
      <c r="A3" s="48" t="s">
        <v>195</v>
      </c>
    </row>
    <row r="4" spans="1:6" ht="15.75" thickTop="1" x14ac:dyDescent="0.25"/>
    <row r="5" spans="1:6" x14ac:dyDescent="0.25">
      <c r="A5" s="28" t="s">
        <v>38</v>
      </c>
      <c r="B5" s="28"/>
      <c r="C5" s="28"/>
      <c r="E5" s="25" t="s">
        <v>16</v>
      </c>
      <c r="F5" s="25"/>
    </row>
    <row r="6" spans="1:6" x14ac:dyDescent="0.25">
      <c r="A6" s="25" t="s">
        <v>37</v>
      </c>
      <c r="B6" s="25" t="s">
        <v>35</v>
      </c>
      <c r="C6" s="25" t="s">
        <v>36</v>
      </c>
      <c r="E6" s="25" t="s">
        <v>36</v>
      </c>
      <c r="F6" s="25" t="s">
        <v>35</v>
      </c>
    </row>
    <row r="7" spans="1:6" x14ac:dyDescent="0.25">
      <c r="A7" s="4" t="s">
        <v>34</v>
      </c>
      <c r="B7" s="4">
        <v>35</v>
      </c>
      <c r="C7" s="4"/>
      <c r="E7" s="4" t="s">
        <v>33</v>
      </c>
      <c r="F7" s="4" t="s">
        <v>32</v>
      </c>
    </row>
    <row r="8" spans="1:6" x14ac:dyDescent="0.25">
      <c r="A8" s="1" t="s">
        <v>31</v>
      </c>
      <c r="B8" s="1">
        <v>60</v>
      </c>
      <c r="C8" s="1"/>
      <c r="E8" s="1" t="s">
        <v>30</v>
      </c>
      <c r="F8" s="1" t="s">
        <v>29</v>
      </c>
    </row>
    <row r="9" spans="1:6" x14ac:dyDescent="0.25">
      <c r="A9" s="1" t="s">
        <v>28</v>
      </c>
      <c r="B9" s="1">
        <v>92</v>
      </c>
      <c r="C9" s="1"/>
      <c r="E9" s="1" t="s">
        <v>27</v>
      </c>
      <c r="F9" s="1" t="s">
        <v>26</v>
      </c>
    </row>
    <row r="10" spans="1:6" x14ac:dyDescent="0.25">
      <c r="A10" s="1" t="s">
        <v>25</v>
      </c>
      <c r="B10" s="1">
        <v>74</v>
      </c>
      <c r="C10" s="1"/>
      <c r="E10" s="1" t="s">
        <v>24</v>
      </c>
      <c r="F10" s="1" t="s">
        <v>23</v>
      </c>
    </row>
    <row r="11" spans="1:6" x14ac:dyDescent="0.25">
      <c r="A11" s="1" t="s">
        <v>22</v>
      </c>
      <c r="B11" s="1">
        <v>85</v>
      </c>
      <c r="C11" s="1"/>
    </row>
    <row r="12" spans="1:6" x14ac:dyDescent="0.25">
      <c r="A12" s="1" t="s">
        <v>21</v>
      </c>
      <c r="B12" s="1">
        <v>48</v>
      </c>
      <c r="C12" s="1"/>
    </row>
    <row r="13" spans="1:6" x14ac:dyDescent="0.25">
      <c r="A13" s="1" t="s">
        <v>20</v>
      </c>
      <c r="B13" s="1">
        <v>64</v>
      </c>
      <c r="C13" s="1"/>
    </row>
    <row r="14" spans="1:6" x14ac:dyDescent="0.25">
      <c r="A14" s="1" t="s">
        <v>19</v>
      </c>
      <c r="B14" s="1">
        <v>97</v>
      </c>
      <c r="C14" s="1"/>
    </row>
    <row r="15" spans="1:6" x14ac:dyDescent="0.25">
      <c r="A15" s="1" t="s">
        <v>18</v>
      </c>
      <c r="B15" s="1">
        <v>22</v>
      </c>
      <c r="C15"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6BE0-3735-479F-97DA-41B4BBEA0CC6}">
  <dimension ref="A1:M72"/>
  <sheetViews>
    <sheetView topLeftCell="A7" zoomScale="110" zoomScaleNormal="130" workbookViewId="0">
      <selection activeCell="I18" sqref="I18"/>
    </sheetView>
  </sheetViews>
  <sheetFormatPr defaultColWidth="8.7109375" defaultRowHeight="15" x14ac:dyDescent="0.25"/>
  <cols>
    <col min="1" max="1" width="32.85546875" customWidth="1"/>
    <col min="2" max="2" width="18" customWidth="1"/>
    <col min="3" max="3" width="9.140625" customWidth="1"/>
    <col min="4" max="4" width="9.7109375" customWidth="1"/>
    <col min="5" max="5" width="9.85546875" bestFit="1" customWidth="1"/>
    <col min="6" max="6" width="10.7109375" customWidth="1"/>
    <col min="7" max="7" width="14" bestFit="1" customWidth="1"/>
    <col min="8" max="8" width="15.85546875" customWidth="1"/>
    <col min="9" max="9" width="16.140625" customWidth="1"/>
    <col min="10" max="10" width="15.5703125" customWidth="1"/>
    <col min="11" max="11" width="13.7109375" bestFit="1" customWidth="1"/>
    <col min="12" max="12" width="26.7109375" bestFit="1" customWidth="1"/>
    <col min="13" max="13" width="22.42578125" bestFit="1" customWidth="1"/>
    <col min="14" max="15" width="13.7109375" bestFit="1" customWidth="1"/>
    <col min="16" max="17" width="22.42578125" bestFit="1" customWidth="1"/>
    <col min="18" max="18" width="26" bestFit="1" customWidth="1"/>
    <col min="19" max="19" width="26.7109375" bestFit="1" customWidth="1"/>
    <col min="20" max="20" width="19" bestFit="1" customWidth="1"/>
  </cols>
  <sheetData>
    <row r="1" spans="6:6" s="13" customFormat="1" ht="15.75" x14ac:dyDescent="0.25">
      <c r="F1" s="14"/>
    </row>
    <row r="2" spans="6:6" s="13" customFormat="1" ht="15.75" x14ac:dyDescent="0.25">
      <c r="F2" s="14"/>
    </row>
    <row r="3" spans="6:6" s="13" customFormat="1" ht="15.75" x14ac:dyDescent="0.25">
      <c r="F3" s="14"/>
    </row>
    <row r="4" spans="6:6" s="13" customFormat="1" ht="15.75" x14ac:dyDescent="0.25">
      <c r="F4" s="14"/>
    </row>
    <row r="5" spans="6:6" s="13" customFormat="1" ht="15.75" x14ac:dyDescent="0.25">
      <c r="F5" s="14"/>
    </row>
    <row r="6" spans="6:6" s="13" customFormat="1" ht="15.75" x14ac:dyDescent="0.25">
      <c r="F6" s="14"/>
    </row>
    <row r="7" spans="6:6" s="13" customFormat="1" ht="15.75" x14ac:dyDescent="0.25">
      <c r="F7" s="14"/>
    </row>
    <row r="8" spans="6:6" s="13" customFormat="1" ht="15.75" x14ac:dyDescent="0.25">
      <c r="F8" s="14"/>
    </row>
    <row r="9" spans="6:6" s="13" customFormat="1" ht="15.75" x14ac:dyDescent="0.25">
      <c r="F9" s="14"/>
    </row>
    <row r="10" spans="6:6" s="13" customFormat="1" ht="15.75" x14ac:dyDescent="0.25">
      <c r="F10" s="14"/>
    </row>
    <row r="11" spans="6:6" s="13" customFormat="1" ht="15.75" x14ac:dyDescent="0.25">
      <c r="F11" s="14"/>
    </row>
    <row r="12" spans="6:6" s="13" customFormat="1" ht="15.75" x14ac:dyDescent="0.25">
      <c r="F12" s="14"/>
    </row>
    <row r="13" spans="6:6" s="13" customFormat="1" ht="15.75" x14ac:dyDescent="0.25">
      <c r="F13" s="14"/>
    </row>
    <row r="14" spans="6:6" s="13" customFormat="1" ht="15.75" x14ac:dyDescent="0.25">
      <c r="F14" s="14"/>
    </row>
    <row r="15" spans="6:6" s="13" customFormat="1" ht="15.75" x14ac:dyDescent="0.25">
      <c r="F15" s="14"/>
    </row>
    <row r="16" spans="6:6" s="13" customFormat="1" ht="15.75" x14ac:dyDescent="0.25">
      <c r="F16" s="14"/>
    </row>
    <row r="17" spans="1:10" s="13" customFormat="1" ht="15.75" x14ac:dyDescent="0.25">
      <c r="F17" s="14"/>
    </row>
    <row r="18" spans="1:10" s="13" customFormat="1" ht="15.75" x14ac:dyDescent="0.25">
      <c r="F18" s="14"/>
    </row>
    <row r="19" spans="1:10" s="13" customFormat="1" ht="15.75" x14ac:dyDescent="0.25">
      <c r="F19" s="14"/>
    </row>
    <row r="20" spans="1:10" s="13" customFormat="1" ht="15.75" x14ac:dyDescent="0.25">
      <c r="F20" s="14"/>
    </row>
    <row r="21" spans="1:10" s="13" customFormat="1" ht="15.75" x14ac:dyDescent="0.25">
      <c r="F21" s="14"/>
    </row>
    <row r="22" spans="1:10" s="13" customFormat="1" ht="15.75" x14ac:dyDescent="0.25">
      <c r="F22" s="14"/>
    </row>
    <row r="23" spans="1:10" s="13" customFormat="1" ht="15.75" x14ac:dyDescent="0.25">
      <c r="F23" s="14"/>
    </row>
    <row r="24" spans="1:10" s="13" customFormat="1" ht="15.75" x14ac:dyDescent="0.25">
      <c r="F24" s="14"/>
    </row>
    <row r="25" spans="1:10" s="61" customFormat="1" ht="15.75" x14ac:dyDescent="0.25">
      <c r="A25" s="44" t="s">
        <v>91</v>
      </c>
      <c r="B25" s="44" t="s">
        <v>92</v>
      </c>
      <c r="C25" s="44" t="s">
        <v>93</v>
      </c>
      <c r="D25" s="44" t="s">
        <v>205</v>
      </c>
      <c r="E25" s="44" t="s">
        <v>94</v>
      </c>
      <c r="F25" s="44" t="s">
        <v>95</v>
      </c>
      <c r="G25" s="44" t="s">
        <v>96</v>
      </c>
      <c r="H25"/>
      <c r="I25"/>
      <c r="J25"/>
    </row>
    <row r="26" spans="1:10" s="13" customFormat="1" ht="15.75" x14ac:dyDescent="0.25">
      <c r="A26" s="4" t="s">
        <v>200</v>
      </c>
      <c r="B26" s="4" t="s">
        <v>97</v>
      </c>
      <c r="C26" s="4" t="s">
        <v>33</v>
      </c>
      <c r="D26" s="4">
        <v>2</v>
      </c>
      <c r="E26" s="4">
        <v>6</v>
      </c>
      <c r="F26" s="4">
        <v>720</v>
      </c>
      <c r="G26" s="4">
        <v>80</v>
      </c>
      <c r="H26"/>
      <c r="I26"/>
      <c r="J26"/>
    </row>
    <row r="27" spans="1:10" s="13" customFormat="1" ht="15.75" x14ac:dyDescent="0.25">
      <c r="A27" s="1" t="s">
        <v>201</v>
      </c>
      <c r="B27" s="1" t="s">
        <v>98</v>
      </c>
      <c r="C27" s="1" t="s">
        <v>33</v>
      </c>
      <c r="D27" s="1">
        <v>1</v>
      </c>
      <c r="E27" s="1">
        <v>100</v>
      </c>
      <c r="F27" s="1">
        <v>650</v>
      </c>
      <c r="G27" s="1">
        <v>90</v>
      </c>
      <c r="H27"/>
      <c r="I27"/>
      <c r="J27"/>
    </row>
    <row r="28" spans="1:10" s="13" customFormat="1" ht="15.75" x14ac:dyDescent="0.25">
      <c r="A28" s="1" t="s">
        <v>202</v>
      </c>
      <c r="B28" s="1" t="s">
        <v>97</v>
      </c>
      <c r="C28" s="1" t="s">
        <v>30</v>
      </c>
      <c r="D28" s="1">
        <v>3</v>
      </c>
      <c r="E28" s="1">
        <v>10</v>
      </c>
      <c r="F28" s="1">
        <v>340</v>
      </c>
      <c r="G28" s="1">
        <v>40</v>
      </c>
      <c r="H28"/>
      <c r="I28"/>
      <c r="J28"/>
    </row>
    <row r="29" spans="1:10" s="13" customFormat="1" ht="15.75" x14ac:dyDescent="0.25">
      <c r="A29" s="1" t="s">
        <v>200</v>
      </c>
      <c r="B29" s="1" t="s">
        <v>97</v>
      </c>
      <c r="C29" s="1" t="s">
        <v>30</v>
      </c>
      <c r="D29" s="1">
        <v>3</v>
      </c>
      <c r="E29" s="1">
        <v>12</v>
      </c>
      <c r="F29" s="1">
        <v>450</v>
      </c>
      <c r="G29" s="1">
        <v>30</v>
      </c>
      <c r="H29"/>
      <c r="I29"/>
      <c r="J29"/>
    </row>
    <row r="30" spans="1:10" s="11" customFormat="1" ht="15.75" x14ac:dyDescent="0.25">
      <c r="A30" s="1" t="s">
        <v>200</v>
      </c>
      <c r="B30" s="1" t="s">
        <v>99</v>
      </c>
      <c r="C30" s="1" t="s">
        <v>30</v>
      </c>
      <c r="D30" s="1">
        <v>1</v>
      </c>
      <c r="E30" s="1">
        <v>35</v>
      </c>
      <c r="F30" s="1">
        <v>255</v>
      </c>
      <c r="G30" s="1">
        <v>5</v>
      </c>
      <c r="H30"/>
      <c r="I30"/>
      <c r="J30"/>
    </row>
    <row r="31" spans="1:10" s="12" customFormat="1" ht="15.75" x14ac:dyDescent="0.25">
      <c r="A31" s="1" t="s">
        <v>202</v>
      </c>
      <c r="B31" s="1" t="s">
        <v>100</v>
      </c>
      <c r="C31" s="1" t="s">
        <v>33</v>
      </c>
      <c r="D31" s="1">
        <v>2</v>
      </c>
      <c r="E31" s="1">
        <v>40</v>
      </c>
      <c r="F31" s="1">
        <v>670</v>
      </c>
      <c r="G31" s="1">
        <v>23</v>
      </c>
      <c r="H31"/>
      <c r="I31"/>
      <c r="J31"/>
    </row>
    <row r="32" spans="1:10" s="13" customFormat="1" ht="15.75" x14ac:dyDescent="0.25">
      <c r="A32" s="1" t="s">
        <v>202</v>
      </c>
      <c r="B32" s="1" t="s">
        <v>100</v>
      </c>
      <c r="C32" s="1" t="s">
        <v>30</v>
      </c>
      <c r="D32" s="1">
        <v>1</v>
      </c>
      <c r="E32" s="1">
        <v>50</v>
      </c>
      <c r="F32" s="1">
        <v>1221</v>
      </c>
      <c r="G32" s="1">
        <v>30</v>
      </c>
      <c r="H32"/>
      <c r="I32"/>
      <c r="J32"/>
    </row>
    <row r="33" spans="1:13" s="13" customFormat="1" ht="15.75" x14ac:dyDescent="0.25">
      <c r="A33" s="1" t="s">
        <v>203</v>
      </c>
      <c r="B33" s="1" t="s">
        <v>101</v>
      </c>
      <c r="C33" s="1" t="s">
        <v>33</v>
      </c>
      <c r="D33" s="1">
        <v>3</v>
      </c>
      <c r="E33" s="1">
        <v>8</v>
      </c>
      <c r="F33" s="1">
        <v>540</v>
      </c>
      <c r="G33" s="1">
        <v>60</v>
      </c>
      <c r="H33"/>
      <c r="I33"/>
      <c r="J33"/>
      <c r="M33" s="14"/>
    </row>
    <row r="34" spans="1:13" s="13" customFormat="1" ht="15.75" x14ac:dyDescent="0.25">
      <c r="A34" s="1" t="s">
        <v>201</v>
      </c>
      <c r="B34" s="1" t="s">
        <v>98</v>
      </c>
      <c r="C34" s="1" t="s">
        <v>30</v>
      </c>
      <c r="D34" s="1">
        <v>5</v>
      </c>
      <c r="E34" s="1">
        <v>100</v>
      </c>
      <c r="F34" s="1">
        <v>100</v>
      </c>
      <c r="G34" s="1">
        <v>12</v>
      </c>
      <c r="H34"/>
      <c r="I34"/>
      <c r="J34"/>
    </row>
    <row r="35" spans="1:13" s="13" customFormat="1" ht="15.75" x14ac:dyDescent="0.25">
      <c r="A35" s="1" t="s">
        <v>204</v>
      </c>
      <c r="B35" s="1" t="s">
        <v>101</v>
      </c>
      <c r="C35" s="1" t="s">
        <v>33</v>
      </c>
      <c r="D35" s="1">
        <v>1</v>
      </c>
      <c r="E35" s="1">
        <v>25</v>
      </c>
      <c r="F35" s="1">
        <v>420</v>
      </c>
      <c r="G35" s="1">
        <v>17</v>
      </c>
      <c r="H35"/>
      <c r="I35"/>
      <c r="J35"/>
    </row>
    <row r="36" spans="1:13" s="13" customFormat="1" ht="15.75" x14ac:dyDescent="0.25">
      <c r="H36"/>
      <c r="I36"/>
      <c r="J36"/>
    </row>
    <row r="37" spans="1:13" s="13" customFormat="1" ht="15.75" x14ac:dyDescent="0.25"/>
    <row r="38" spans="1:13" s="13" customFormat="1" ht="15.75" x14ac:dyDescent="0.25"/>
    <row r="39" spans="1:13" ht="15.75" x14ac:dyDescent="0.25">
      <c r="A39" s="62" t="s">
        <v>206</v>
      </c>
    </row>
    <row r="40" spans="1:13" x14ac:dyDescent="0.25">
      <c r="A40" s="25" t="s">
        <v>142</v>
      </c>
      <c r="B40" s="25" t="s">
        <v>14</v>
      </c>
    </row>
    <row r="41" spans="1:13" x14ac:dyDescent="0.25">
      <c r="A41" s="4" t="s">
        <v>200</v>
      </c>
      <c r="B41" s="4"/>
    </row>
    <row r="42" spans="1:13" x14ac:dyDescent="0.25">
      <c r="A42" s="1" t="s">
        <v>202</v>
      </c>
      <c r="B42" s="1"/>
    </row>
    <row r="43" spans="1:13" x14ac:dyDescent="0.25">
      <c r="A43" s="1" t="s">
        <v>201</v>
      </c>
      <c r="B43" s="1"/>
    </row>
    <row r="46" spans="1:13" ht="15.75" x14ac:dyDescent="0.25">
      <c r="A46" s="62" t="s">
        <v>207</v>
      </c>
    </row>
    <row r="47" spans="1:13" x14ac:dyDescent="0.25">
      <c r="A47" s="25" t="s">
        <v>142</v>
      </c>
      <c r="B47" s="25" t="s">
        <v>92</v>
      </c>
      <c r="C47" s="25" t="s">
        <v>14</v>
      </c>
    </row>
    <row r="48" spans="1:13" x14ac:dyDescent="0.25">
      <c r="A48" s="4" t="s">
        <v>200</v>
      </c>
      <c r="B48" s="9" t="s">
        <v>97</v>
      </c>
      <c r="C48" s="4"/>
    </row>
    <row r="49" spans="1:9" x14ac:dyDescent="0.25">
      <c r="A49" s="1" t="s">
        <v>200</v>
      </c>
      <c r="B49" s="10" t="s">
        <v>99</v>
      </c>
      <c r="C49" s="1"/>
    </row>
    <row r="50" spans="1:9" x14ac:dyDescent="0.25">
      <c r="A50" s="1" t="s">
        <v>202</v>
      </c>
      <c r="B50" s="10" t="s">
        <v>100</v>
      </c>
      <c r="C50" s="1"/>
    </row>
    <row r="54" spans="1:9" ht="15.75" x14ac:dyDescent="0.25">
      <c r="A54" s="62" t="s">
        <v>208</v>
      </c>
    </row>
    <row r="55" spans="1:9" x14ac:dyDescent="0.25">
      <c r="A55" s="5" t="s">
        <v>142</v>
      </c>
      <c r="B55" s="5" t="s">
        <v>106</v>
      </c>
    </row>
    <row r="56" spans="1:9" x14ac:dyDescent="0.25">
      <c r="A56" s="1" t="s">
        <v>200</v>
      </c>
      <c r="B56" s="1"/>
    </row>
    <row r="57" spans="1:9" x14ac:dyDescent="0.25">
      <c r="A57" s="1" t="s">
        <v>202</v>
      </c>
      <c r="B57" s="1"/>
    </row>
    <row r="59" spans="1:9" x14ac:dyDescent="0.25">
      <c r="I59" t="str">
        <f>RIGHT(G59, 10)</f>
        <v/>
      </c>
    </row>
    <row r="61" spans="1:9" ht="15.75" x14ac:dyDescent="0.25">
      <c r="A61" s="62" t="s">
        <v>209</v>
      </c>
    </row>
    <row r="62" spans="1:9" x14ac:dyDescent="0.25">
      <c r="A62" s="5" t="s">
        <v>142</v>
      </c>
      <c r="B62" s="5" t="s">
        <v>92</v>
      </c>
      <c r="C62" s="5" t="s">
        <v>106</v>
      </c>
    </row>
    <row r="63" spans="1:9" x14ac:dyDescent="0.25">
      <c r="A63" s="4" t="s">
        <v>200</v>
      </c>
      <c r="B63" s="4" t="s">
        <v>97</v>
      </c>
      <c r="C63" s="4"/>
    </row>
    <row r="64" spans="1:9" x14ac:dyDescent="0.25">
      <c r="A64" s="1" t="s">
        <v>202</v>
      </c>
      <c r="B64" s="1" t="s">
        <v>100</v>
      </c>
      <c r="C64" s="1"/>
    </row>
    <row r="67" spans="1:2" ht="15.75" x14ac:dyDescent="0.25">
      <c r="A67" s="62" t="s">
        <v>210</v>
      </c>
    </row>
    <row r="68" spans="1:2" x14ac:dyDescent="0.25">
      <c r="A68" s="5" t="s">
        <v>212</v>
      </c>
      <c r="B68" s="15"/>
    </row>
    <row r="71" spans="1:2" ht="15.75" x14ac:dyDescent="0.25">
      <c r="A71" s="62" t="s">
        <v>211</v>
      </c>
    </row>
    <row r="72" spans="1:2" x14ac:dyDescent="0.25">
      <c r="A72" s="5" t="s">
        <v>212</v>
      </c>
      <c r="B72" s="1"/>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FA76F-5DB2-4A7D-8A81-5F72BDDF3251}">
  <dimension ref="A1:C10"/>
  <sheetViews>
    <sheetView zoomScale="162" workbookViewId="0">
      <selection activeCell="E7" sqref="E7"/>
    </sheetView>
  </sheetViews>
  <sheetFormatPr defaultRowHeight="15" x14ac:dyDescent="0.25"/>
  <cols>
    <col min="1" max="1" width="9.5703125" bestFit="1" customWidth="1"/>
    <col min="5" max="5" width="11.42578125" bestFit="1" customWidth="1"/>
    <col min="7" max="7" width="10.28515625" bestFit="1" customWidth="1"/>
  </cols>
  <sheetData>
    <row r="1" spans="1:3" x14ac:dyDescent="0.25">
      <c r="A1" s="64" t="s">
        <v>15</v>
      </c>
      <c r="B1" s="64" t="s">
        <v>142</v>
      </c>
      <c r="C1" s="64" t="s">
        <v>14</v>
      </c>
    </row>
    <row r="2" spans="1:3" x14ac:dyDescent="0.25">
      <c r="A2" s="60" t="s">
        <v>198</v>
      </c>
      <c r="B2" s="60" t="s">
        <v>196</v>
      </c>
      <c r="C2" s="60">
        <v>203</v>
      </c>
    </row>
    <row r="3" spans="1:3" x14ac:dyDescent="0.25">
      <c r="A3" s="60" t="s">
        <v>198</v>
      </c>
      <c r="B3" s="60" t="s">
        <v>197</v>
      </c>
      <c r="C3" s="60">
        <v>240</v>
      </c>
    </row>
    <row r="4" spans="1:3" x14ac:dyDescent="0.25">
      <c r="A4" s="60" t="s">
        <v>198</v>
      </c>
      <c r="B4" s="60" t="s">
        <v>196</v>
      </c>
      <c r="C4" s="60">
        <v>120</v>
      </c>
    </row>
    <row r="5" spans="1:3" x14ac:dyDescent="0.25">
      <c r="A5" s="60" t="s">
        <v>198</v>
      </c>
      <c r="B5" s="60" t="s">
        <v>196</v>
      </c>
      <c r="C5" s="60">
        <v>90</v>
      </c>
    </row>
    <row r="6" spans="1:3" x14ac:dyDescent="0.25">
      <c r="A6" s="60" t="s">
        <v>198</v>
      </c>
      <c r="B6" s="60" t="s">
        <v>197</v>
      </c>
      <c r="C6" s="60">
        <v>45</v>
      </c>
    </row>
    <row r="7" spans="1:3" x14ac:dyDescent="0.25">
      <c r="A7" s="60" t="s">
        <v>199</v>
      </c>
      <c r="B7" s="60" t="s">
        <v>197</v>
      </c>
      <c r="C7" s="60">
        <v>38</v>
      </c>
    </row>
    <row r="8" spans="1:3" x14ac:dyDescent="0.25">
      <c r="A8" s="60" t="s">
        <v>199</v>
      </c>
      <c r="B8" s="60" t="s">
        <v>196</v>
      </c>
      <c r="C8" s="60">
        <v>90</v>
      </c>
    </row>
    <row r="9" spans="1:3" x14ac:dyDescent="0.25">
      <c r="A9" s="60" t="s">
        <v>199</v>
      </c>
      <c r="B9" s="60" t="s">
        <v>197</v>
      </c>
      <c r="C9" s="60">
        <v>24</v>
      </c>
    </row>
    <row r="10" spans="1:3" x14ac:dyDescent="0.25">
      <c r="A10" s="60" t="s">
        <v>199</v>
      </c>
      <c r="B10" s="60" t="s">
        <v>196</v>
      </c>
      <c r="C10" s="60">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555A-74D7-4E35-B798-38577C785E0E}">
  <dimension ref="A6:M26"/>
  <sheetViews>
    <sheetView showGridLines="0" zoomScale="130" zoomScaleNormal="130" workbookViewId="0">
      <selection activeCell="L4" sqref="L4"/>
    </sheetView>
  </sheetViews>
  <sheetFormatPr defaultRowHeight="15" x14ac:dyDescent="0.25"/>
  <cols>
    <col min="1" max="1" width="11.85546875" bestFit="1" customWidth="1"/>
    <col min="2" max="2" width="6.7109375" bestFit="1" customWidth="1"/>
    <col min="3" max="3" width="8.42578125" bestFit="1" customWidth="1"/>
    <col min="4" max="4" width="11.140625" bestFit="1" customWidth="1"/>
    <col min="5" max="5" width="6.5703125" bestFit="1" customWidth="1"/>
    <col min="6" max="6" width="5.42578125" bestFit="1" customWidth="1"/>
    <col min="8" max="8" width="6.28515625" bestFit="1" customWidth="1"/>
    <col min="9" max="9" width="5.42578125" bestFit="1" customWidth="1"/>
    <col min="10" max="10" width="17.5703125" bestFit="1" customWidth="1"/>
    <col min="12" max="12" width="6.7109375" bestFit="1" customWidth="1"/>
    <col min="13" max="13" width="15.7109375" bestFit="1" customWidth="1"/>
  </cols>
  <sheetData>
    <row r="6" spans="1:13" ht="15.75" x14ac:dyDescent="0.25">
      <c r="A6" s="25" t="s">
        <v>72</v>
      </c>
      <c r="B6" s="25" t="s">
        <v>73</v>
      </c>
      <c r="C6" s="25" t="s">
        <v>74</v>
      </c>
      <c r="D6" s="25" t="s">
        <v>75</v>
      </c>
      <c r="E6" s="25" t="s">
        <v>76</v>
      </c>
      <c r="F6" s="25" t="s">
        <v>48</v>
      </c>
      <c r="H6" s="13"/>
      <c r="I6" s="13"/>
      <c r="J6" s="13"/>
      <c r="K6" s="13"/>
      <c r="L6" s="13"/>
      <c r="M6" s="13"/>
    </row>
    <row r="7" spans="1:13" ht="15.75" x14ac:dyDescent="0.25">
      <c r="A7" s="4" t="s">
        <v>77</v>
      </c>
      <c r="B7" s="4" t="s">
        <v>78</v>
      </c>
      <c r="C7" s="4">
        <v>49</v>
      </c>
      <c r="D7" s="4">
        <v>1</v>
      </c>
      <c r="E7" s="4">
        <v>45</v>
      </c>
      <c r="F7" s="4">
        <v>318</v>
      </c>
      <c r="H7" s="54" t="s">
        <v>107</v>
      </c>
      <c r="I7" s="54"/>
      <c r="J7" s="54"/>
      <c r="K7" s="13"/>
      <c r="L7" s="54" t="s">
        <v>108</v>
      </c>
      <c r="M7" s="54"/>
    </row>
    <row r="8" spans="1:13" ht="15.75" x14ac:dyDescent="0.25">
      <c r="A8" s="1" t="s">
        <v>79</v>
      </c>
      <c r="B8" s="1" t="s">
        <v>78</v>
      </c>
      <c r="C8" s="1">
        <v>63</v>
      </c>
      <c r="D8" s="1">
        <v>1</v>
      </c>
      <c r="E8" s="1">
        <v>60</v>
      </c>
      <c r="F8" s="1">
        <v>405</v>
      </c>
      <c r="H8" s="25" t="s">
        <v>109</v>
      </c>
      <c r="I8" s="25" t="s">
        <v>110</v>
      </c>
      <c r="J8" s="25" t="s">
        <v>111</v>
      </c>
      <c r="K8" s="13"/>
      <c r="L8" s="25" t="s">
        <v>109</v>
      </c>
      <c r="M8" s="25" t="s">
        <v>112</v>
      </c>
    </row>
    <row r="9" spans="1:13" ht="15.75" x14ac:dyDescent="0.25">
      <c r="A9" s="1" t="s">
        <v>80</v>
      </c>
      <c r="B9" s="1" t="s">
        <v>78</v>
      </c>
      <c r="C9" s="1">
        <v>83</v>
      </c>
      <c r="D9" s="1">
        <v>1</v>
      </c>
      <c r="E9" s="1">
        <v>80</v>
      </c>
      <c r="F9" s="1">
        <v>525</v>
      </c>
      <c r="H9" s="17" t="s">
        <v>78</v>
      </c>
      <c r="I9" s="17">
        <v>1</v>
      </c>
      <c r="J9" s="17"/>
      <c r="K9" s="13"/>
      <c r="L9" s="17" t="s">
        <v>78</v>
      </c>
      <c r="M9" s="17"/>
    </row>
    <row r="10" spans="1:13" ht="15.75" x14ac:dyDescent="0.25">
      <c r="A10" s="1" t="s">
        <v>81</v>
      </c>
      <c r="B10" s="1" t="s">
        <v>82</v>
      </c>
      <c r="C10" s="1">
        <v>43</v>
      </c>
      <c r="D10" s="1">
        <v>1</v>
      </c>
      <c r="E10" s="1">
        <v>65</v>
      </c>
      <c r="F10" s="1">
        <v>309</v>
      </c>
      <c r="H10" s="16" t="s">
        <v>82</v>
      </c>
      <c r="I10" s="16">
        <v>1</v>
      </c>
      <c r="J10" s="16"/>
      <c r="K10" s="13"/>
      <c r="L10" s="16" t="s">
        <v>82</v>
      </c>
      <c r="M10" s="16"/>
    </row>
    <row r="11" spans="1:13" ht="15.75" x14ac:dyDescent="0.25">
      <c r="A11" s="1" t="s">
        <v>83</v>
      </c>
      <c r="B11" s="1" t="s">
        <v>82</v>
      </c>
      <c r="C11" s="1">
        <v>58</v>
      </c>
      <c r="D11" s="1">
        <v>1</v>
      </c>
      <c r="E11" s="1">
        <v>80</v>
      </c>
      <c r="F11" s="1">
        <v>405</v>
      </c>
      <c r="H11" s="16" t="s">
        <v>78</v>
      </c>
      <c r="I11" s="16">
        <v>2</v>
      </c>
      <c r="J11" s="16"/>
      <c r="K11" s="13"/>
      <c r="L11" s="16" t="s">
        <v>113</v>
      </c>
      <c r="M11" s="16"/>
    </row>
    <row r="12" spans="1:13" ht="15.75" x14ac:dyDescent="0.25">
      <c r="A12" s="1" t="s">
        <v>84</v>
      </c>
      <c r="B12" s="1" t="s">
        <v>82</v>
      </c>
      <c r="C12" s="1">
        <v>78</v>
      </c>
      <c r="D12" s="1">
        <v>1</v>
      </c>
      <c r="E12" s="1">
        <v>100</v>
      </c>
      <c r="F12" s="1">
        <v>534</v>
      </c>
      <c r="H12" s="16" t="s">
        <v>82</v>
      </c>
      <c r="I12" s="16">
        <v>2</v>
      </c>
      <c r="J12" s="16"/>
      <c r="K12" s="13"/>
      <c r="L12" s="13"/>
      <c r="M12" s="13"/>
    </row>
    <row r="13" spans="1:13" ht="15.75" x14ac:dyDescent="0.25">
      <c r="A13" s="1" t="s">
        <v>85</v>
      </c>
      <c r="B13" s="1" t="s">
        <v>78</v>
      </c>
      <c r="C13" s="1">
        <v>65</v>
      </c>
      <c r="D13" s="1">
        <v>2</v>
      </c>
      <c r="E13" s="1">
        <v>43</v>
      </c>
      <c r="F13" s="1">
        <v>314</v>
      </c>
      <c r="H13" s="13"/>
      <c r="I13" s="13"/>
      <c r="J13" s="13"/>
      <c r="K13" s="13"/>
      <c r="L13" s="13"/>
      <c r="M13" s="13"/>
    </row>
    <row r="14" spans="1:13" ht="15.75" x14ac:dyDescent="0.25">
      <c r="A14" s="1" t="s">
        <v>86</v>
      </c>
      <c r="B14" s="1" t="s">
        <v>78</v>
      </c>
      <c r="C14" s="1">
        <v>80</v>
      </c>
      <c r="D14" s="1">
        <v>2</v>
      </c>
      <c r="E14" s="1">
        <v>58</v>
      </c>
      <c r="F14" s="1">
        <v>405</v>
      </c>
      <c r="H14" s="13"/>
      <c r="I14" s="13"/>
      <c r="J14" s="13"/>
      <c r="K14" s="13"/>
      <c r="L14" s="13"/>
      <c r="M14" s="13"/>
    </row>
    <row r="15" spans="1:13" ht="15.75" x14ac:dyDescent="0.25">
      <c r="A15" s="1" t="s">
        <v>87</v>
      </c>
      <c r="B15" s="1" t="s">
        <v>78</v>
      </c>
      <c r="C15" s="1">
        <v>100</v>
      </c>
      <c r="D15" s="1">
        <v>2</v>
      </c>
      <c r="E15" s="1">
        <v>78</v>
      </c>
      <c r="F15" s="1">
        <v>530</v>
      </c>
      <c r="H15" s="54" t="s">
        <v>105</v>
      </c>
      <c r="I15" s="54"/>
      <c r="J15" s="54"/>
      <c r="K15" s="13"/>
      <c r="L15" s="54" t="s">
        <v>104</v>
      </c>
      <c r="M15" s="54"/>
    </row>
    <row r="16" spans="1:13" ht="15.75" x14ac:dyDescent="0.25">
      <c r="A16" s="1" t="s">
        <v>88</v>
      </c>
      <c r="B16" s="1" t="s">
        <v>82</v>
      </c>
      <c r="C16" s="1">
        <v>43</v>
      </c>
      <c r="D16" s="1">
        <v>2</v>
      </c>
      <c r="E16" s="1">
        <v>87</v>
      </c>
      <c r="F16" s="1">
        <v>600</v>
      </c>
      <c r="H16" s="25" t="s">
        <v>109</v>
      </c>
      <c r="I16" s="25" t="s">
        <v>110</v>
      </c>
      <c r="J16" s="25" t="s">
        <v>106</v>
      </c>
      <c r="K16" s="13"/>
      <c r="L16" s="25" t="s">
        <v>109</v>
      </c>
      <c r="M16" s="25" t="s">
        <v>106</v>
      </c>
    </row>
    <row r="17" spans="1:13" ht="15.75" x14ac:dyDescent="0.25">
      <c r="A17" s="1" t="s">
        <v>89</v>
      </c>
      <c r="B17" s="1" t="s">
        <v>82</v>
      </c>
      <c r="C17" s="1">
        <v>58</v>
      </c>
      <c r="D17" s="1">
        <v>2</v>
      </c>
      <c r="E17" s="1">
        <v>66</v>
      </c>
      <c r="F17" s="1">
        <v>640</v>
      </c>
      <c r="H17" s="17" t="s">
        <v>78</v>
      </c>
      <c r="I17" s="17">
        <v>1</v>
      </c>
      <c r="J17" s="17"/>
      <c r="K17" s="13"/>
      <c r="L17" s="17" t="s">
        <v>82</v>
      </c>
      <c r="M17" s="17"/>
    </row>
    <row r="18" spans="1:13" ht="15.75" x14ac:dyDescent="0.25">
      <c r="A18" s="1" t="s">
        <v>90</v>
      </c>
      <c r="B18" s="1" t="s">
        <v>82</v>
      </c>
      <c r="C18" s="1">
        <v>78</v>
      </c>
      <c r="D18" s="1">
        <v>2</v>
      </c>
      <c r="E18" s="1">
        <v>54</v>
      </c>
      <c r="F18" s="1">
        <v>760</v>
      </c>
      <c r="H18" s="16" t="s">
        <v>78</v>
      </c>
      <c r="I18" s="16">
        <v>2</v>
      </c>
      <c r="J18" s="16"/>
      <c r="K18" s="13"/>
      <c r="L18" s="16" t="s">
        <v>78</v>
      </c>
      <c r="M18" s="16"/>
    </row>
    <row r="19" spans="1:13" ht="15.75" x14ac:dyDescent="0.25">
      <c r="H19" s="13"/>
      <c r="I19" s="13"/>
      <c r="J19" s="13"/>
      <c r="K19" s="13"/>
      <c r="L19" s="13"/>
      <c r="M19" s="13"/>
    </row>
    <row r="20" spans="1:13" ht="15.75" x14ac:dyDescent="0.25">
      <c r="H20" s="13"/>
      <c r="I20" s="13"/>
      <c r="J20" s="13"/>
      <c r="K20" s="13"/>
      <c r="L20" s="13"/>
      <c r="M20" s="13"/>
    </row>
    <row r="21" spans="1:13" ht="15.75" x14ac:dyDescent="0.25">
      <c r="H21" s="54" t="s">
        <v>103</v>
      </c>
      <c r="I21" s="54"/>
      <c r="J21" s="54"/>
      <c r="K21" s="13"/>
      <c r="L21" s="54" t="s">
        <v>102</v>
      </c>
      <c r="M21" s="54"/>
    </row>
    <row r="22" spans="1:13" ht="15.75" x14ac:dyDescent="0.25">
      <c r="H22" s="25" t="s">
        <v>109</v>
      </c>
      <c r="I22" s="25" t="s">
        <v>110</v>
      </c>
      <c r="J22" s="25" t="s">
        <v>114</v>
      </c>
      <c r="K22" s="13"/>
      <c r="L22" s="25" t="s">
        <v>109</v>
      </c>
      <c r="M22" s="25" t="s">
        <v>114</v>
      </c>
    </row>
    <row r="23" spans="1:13" ht="15.75" x14ac:dyDescent="0.25">
      <c r="H23" s="17" t="s">
        <v>78</v>
      </c>
      <c r="I23" s="17">
        <v>2</v>
      </c>
      <c r="J23" s="17"/>
      <c r="K23" s="13"/>
      <c r="L23" s="17" t="s">
        <v>78</v>
      </c>
      <c r="M23" s="17"/>
    </row>
    <row r="24" spans="1:13" ht="15.75" x14ac:dyDescent="0.25">
      <c r="H24" s="16" t="s">
        <v>82</v>
      </c>
      <c r="I24" s="16">
        <v>1</v>
      </c>
      <c r="J24" s="16"/>
      <c r="K24" s="13"/>
      <c r="L24" s="16" t="s">
        <v>82</v>
      </c>
      <c r="M24" s="16"/>
    </row>
    <row r="25" spans="1:13" ht="15.75" x14ac:dyDescent="0.25">
      <c r="H25" s="13"/>
      <c r="I25" s="13"/>
      <c r="J25" s="13"/>
      <c r="K25" s="13"/>
      <c r="L25" s="16" t="s">
        <v>113</v>
      </c>
      <c r="M25" s="16"/>
    </row>
    <row r="26" spans="1:13" ht="15.75" x14ac:dyDescent="0.25">
      <c r="H26" s="13"/>
      <c r="I26" s="13"/>
      <c r="J26" s="13"/>
      <c r="K26" s="13"/>
      <c r="L26" s="13"/>
      <c r="M26" s="13"/>
    </row>
  </sheetData>
  <mergeCells count="6">
    <mergeCell ref="H7:J7"/>
    <mergeCell ref="L7:M7"/>
    <mergeCell ref="H15:J15"/>
    <mergeCell ref="L15:M15"/>
    <mergeCell ref="H21:J21"/>
    <mergeCell ref="L21:M2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44DA-26DD-4BA3-A570-A8E46D5572A5}">
  <dimension ref="A1:H32"/>
  <sheetViews>
    <sheetView showGridLines="0" topLeftCell="A19" zoomScale="120" zoomScaleNormal="120" workbookViewId="0">
      <selection activeCell="J11" sqref="J11"/>
    </sheetView>
  </sheetViews>
  <sheetFormatPr defaultRowHeight="15" x14ac:dyDescent="0.25"/>
  <cols>
    <col min="1" max="1" width="11.7109375" bestFit="1" customWidth="1"/>
    <col min="2" max="2" width="9.85546875" bestFit="1" customWidth="1"/>
    <col min="3" max="3" width="13.28515625" bestFit="1" customWidth="1"/>
    <col min="4" max="4" width="19.85546875" bestFit="1" customWidth="1"/>
    <col min="5" max="5" width="9.7109375" bestFit="1" customWidth="1"/>
    <col min="7" max="7" width="41.140625" bestFit="1" customWidth="1"/>
  </cols>
  <sheetData>
    <row r="1" spans="1:8" x14ac:dyDescent="0.25">
      <c r="A1" s="25" t="s">
        <v>139</v>
      </c>
    </row>
    <row r="2" spans="1:8" x14ac:dyDescent="0.25">
      <c r="A2" s="45" t="s">
        <v>138</v>
      </c>
      <c r="B2" s="44" t="s">
        <v>115</v>
      </c>
      <c r="C2" s="44" t="s">
        <v>116</v>
      </c>
      <c r="D2" s="44" t="s">
        <v>117</v>
      </c>
      <c r="E2" s="44" t="s">
        <v>118</v>
      </c>
    </row>
    <row r="3" spans="1:8" x14ac:dyDescent="0.25">
      <c r="A3" s="43" t="s">
        <v>119</v>
      </c>
      <c r="B3" s="43" t="s">
        <v>120</v>
      </c>
      <c r="C3" s="43" t="s">
        <v>121</v>
      </c>
      <c r="D3" s="43" t="s">
        <v>122</v>
      </c>
      <c r="E3" s="46">
        <v>1000</v>
      </c>
      <c r="G3" s="20"/>
    </row>
    <row r="4" spans="1:8" x14ac:dyDescent="0.25">
      <c r="A4" s="18" t="s">
        <v>119</v>
      </c>
      <c r="B4" s="18" t="s">
        <v>120</v>
      </c>
      <c r="C4" s="18" t="s">
        <v>123</v>
      </c>
      <c r="D4" s="18" t="s">
        <v>124</v>
      </c>
      <c r="E4" s="19">
        <v>800</v>
      </c>
      <c r="G4" s="20"/>
      <c r="H4" s="21"/>
    </row>
    <row r="5" spans="1:8" x14ac:dyDescent="0.25">
      <c r="A5" s="18" t="s">
        <v>119</v>
      </c>
      <c r="B5" s="18" t="s">
        <v>125</v>
      </c>
      <c r="C5" s="18" t="s">
        <v>126</v>
      </c>
      <c r="D5" s="18" t="s">
        <v>127</v>
      </c>
      <c r="E5" s="19">
        <v>650</v>
      </c>
      <c r="G5" s="20"/>
      <c r="H5" s="21"/>
    </row>
    <row r="6" spans="1:8" x14ac:dyDescent="0.25">
      <c r="A6" s="18" t="s">
        <v>119</v>
      </c>
      <c r="B6" s="18" t="s">
        <v>125</v>
      </c>
      <c r="C6" s="18" t="s">
        <v>128</v>
      </c>
      <c r="D6" s="18" t="s">
        <v>122</v>
      </c>
      <c r="E6" s="19">
        <v>850</v>
      </c>
    </row>
    <row r="7" spans="1:8" x14ac:dyDescent="0.25">
      <c r="A7" s="18" t="s">
        <v>119</v>
      </c>
      <c r="B7" s="18" t="s">
        <v>125</v>
      </c>
      <c r="C7" s="18" t="s">
        <v>129</v>
      </c>
      <c r="D7" s="18" t="s">
        <v>124</v>
      </c>
      <c r="E7" s="19">
        <v>1400</v>
      </c>
      <c r="G7" s="44" t="s">
        <v>130</v>
      </c>
      <c r="H7" s="15"/>
    </row>
    <row r="8" spans="1:8" x14ac:dyDescent="0.25">
      <c r="A8" s="18" t="s">
        <v>119</v>
      </c>
      <c r="B8" s="18" t="s">
        <v>120</v>
      </c>
      <c r="C8" s="18" t="s">
        <v>121</v>
      </c>
      <c r="D8" s="18" t="s">
        <v>122</v>
      </c>
      <c r="E8" s="19">
        <v>1000</v>
      </c>
      <c r="G8" s="44" t="s">
        <v>131</v>
      </c>
      <c r="H8" s="22"/>
    </row>
    <row r="9" spans="1:8" x14ac:dyDescent="0.25">
      <c r="A9" s="18" t="s">
        <v>119</v>
      </c>
      <c r="B9" s="18" t="s">
        <v>120</v>
      </c>
      <c r="C9" s="18" t="s">
        <v>121</v>
      </c>
      <c r="D9" s="18" t="s">
        <v>124</v>
      </c>
      <c r="E9" s="19">
        <v>1000</v>
      </c>
      <c r="G9" s="44" t="s">
        <v>132</v>
      </c>
      <c r="H9" s="22"/>
    </row>
    <row r="10" spans="1:8" x14ac:dyDescent="0.25">
      <c r="A10" s="18" t="s">
        <v>119</v>
      </c>
      <c r="B10" s="18" t="s">
        <v>125</v>
      </c>
      <c r="C10" s="18" t="s">
        <v>128</v>
      </c>
      <c r="D10" s="18" t="s">
        <v>127</v>
      </c>
      <c r="E10" s="19">
        <v>850</v>
      </c>
    </row>
    <row r="11" spans="1:8" x14ac:dyDescent="0.25">
      <c r="A11" s="18" t="s">
        <v>133</v>
      </c>
      <c r="B11" s="18" t="s">
        <v>125</v>
      </c>
      <c r="C11" s="18" t="s">
        <v>126</v>
      </c>
      <c r="D11" s="18" t="s">
        <v>122</v>
      </c>
      <c r="E11" s="19">
        <v>650</v>
      </c>
      <c r="G11" s="44" t="s">
        <v>134</v>
      </c>
      <c r="H11" s="15"/>
    </row>
    <row r="12" spans="1:8" x14ac:dyDescent="0.25">
      <c r="A12" s="18" t="s">
        <v>133</v>
      </c>
      <c r="B12" s="18" t="s">
        <v>120</v>
      </c>
      <c r="C12" s="18" t="s">
        <v>123</v>
      </c>
      <c r="D12" s="18" t="s">
        <v>124</v>
      </c>
      <c r="E12" s="19">
        <v>800</v>
      </c>
      <c r="G12" s="44" t="s">
        <v>135</v>
      </c>
      <c r="H12" s="22"/>
    </row>
    <row r="13" spans="1:8" x14ac:dyDescent="0.25">
      <c r="A13" s="18" t="s">
        <v>133</v>
      </c>
      <c r="B13" s="18" t="s">
        <v>125</v>
      </c>
      <c r="C13" s="18" t="s">
        <v>129</v>
      </c>
      <c r="D13" s="18" t="s">
        <v>127</v>
      </c>
      <c r="E13" s="19">
        <v>1400</v>
      </c>
      <c r="G13" s="44" t="s">
        <v>136</v>
      </c>
      <c r="H13" s="22"/>
    </row>
    <row r="14" spans="1:8" x14ac:dyDescent="0.25">
      <c r="A14" s="18" t="s">
        <v>133</v>
      </c>
      <c r="B14" s="18" t="s">
        <v>125</v>
      </c>
      <c r="C14" s="18" t="s">
        <v>126</v>
      </c>
      <c r="D14" s="18" t="s">
        <v>124</v>
      </c>
      <c r="E14" s="19">
        <v>650</v>
      </c>
    </row>
    <row r="15" spans="1:8" x14ac:dyDescent="0.25">
      <c r="A15" s="18" t="s">
        <v>133</v>
      </c>
      <c r="B15" s="18" t="s">
        <v>120</v>
      </c>
      <c r="C15" s="18" t="s">
        <v>123</v>
      </c>
      <c r="D15" s="18" t="s">
        <v>127</v>
      </c>
      <c r="E15" s="19">
        <v>800</v>
      </c>
      <c r="G15" s="28" t="s">
        <v>137</v>
      </c>
      <c r="H15" s="25" t="s">
        <v>14</v>
      </c>
    </row>
    <row r="16" spans="1:8" x14ac:dyDescent="0.25">
      <c r="A16" s="18" t="s">
        <v>133</v>
      </c>
      <c r="B16" s="18" t="s">
        <v>125</v>
      </c>
      <c r="C16" s="18" t="s">
        <v>129</v>
      </c>
      <c r="D16" s="18" t="s">
        <v>122</v>
      </c>
      <c r="E16" s="19">
        <v>1400</v>
      </c>
      <c r="G16" s="4" t="s">
        <v>119</v>
      </c>
      <c r="H16" s="4"/>
    </row>
    <row r="17" spans="1:8" x14ac:dyDescent="0.25">
      <c r="A17" s="18" t="s">
        <v>133</v>
      </c>
      <c r="B17" s="18" t="s">
        <v>125</v>
      </c>
      <c r="C17" s="18" t="s">
        <v>129</v>
      </c>
      <c r="D17" s="18" t="s">
        <v>124</v>
      </c>
      <c r="E17" s="19">
        <v>1400</v>
      </c>
      <c r="G17" s="1" t="s">
        <v>133</v>
      </c>
      <c r="H17" s="4"/>
    </row>
    <row r="23" spans="1:8" x14ac:dyDescent="0.25">
      <c r="A23" s="23" t="s">
        <v>140</v>
      </c>
    </row>
    <row r="24" spans="1:8" x14ac:dyDescent="0.25">
      <c r="A24" s="5" t="s">
        <v>141</v>
      </c>
      <c r="B24" s="5" t="s">
        <v>142</v>
      </c>
      <c r="C24" s="5" t="s">
        <v>143</v>
      </c>
    </row>
    <row r="25" spans="1:8" x14ac:dyDescent="0.25">
      <c r="A25" s="1" t="s">
        <v>144</v>
      </c>
      <c r="B25" s="1" t="s">
        <v>145</v>
      </c>
      <c r="C25" s="24">
        <v>12000</v>
      </c>
    </row>
    <row r="26" spans="1:8" x14ac:dyDescent="0.25">
      <c r="A26" s="1" t="s">
        <v>146</v>
      </c>
      <c r="B26" s="1" t="s">
        <v>147</v>
      </c>
      <c r="C26" s="24">
        <v>15000</v>
      </c>
    </row>
    <row r="27" spans="1:8" x14ac:dyDescent="0.25">
      <c r="A27" s="1" t="s">
        <v>144</v>
      </c>
      <c r="B27" s="1" t="s">
        <v>147</v>
      </c>
      <c r="C27" s="24">
        <v>9500</v>
      </c>
    </row>
    <row r="28" spans="1:8" x14ac:dyDescent="0.25">
      <c r="A28" s="1" t="s">
        <v>148</v>
      </c>
      <c r="B28" s="1" t="s">
        <v>145</v>
      </c>
      <c r="C28" s="24">
        <v>18000</v>
      </c>
    </row>
    <row r="29" spans="1:8" x14ac:dyDescent="0.25">
      <c r="A29" s="1" t="s">
        <v>146</v>
      </c>
      <c r="B29" s="1" t="s">
        <v>145</v>
      </c>
      <c r="C29" s="24">
        <v>22000</v>
      </c>
    </row>
    <row r="30" spans="1:8" x14ac:dyDescent="0.25">
      <c r="A30" s="1" t="s">
        <v>144</v>
      </c>
      <c r="B30" s="1" t="s">
        <v>145</v>
      </c>
      <c r="C30" s="24">
        <v>10500</v>
      </c>
      <c r="E30" s="5" t="s">
        <v>139</v>
      </c>
      <c r="F30" s="1"/>
    </row>
    <row r="31" spans="1:8" x14ac:dyDescent="0.25">
      <c r="A31" s="1" t="s">
        <v>149</v>
      </c>
      <c r="B31" s="1" t="s">
        <v>147</v>
      </c>
      <c r="C31" s="24">
        <v>16000</v>
      </c>
      <c r="E31" s="5" t="s">
        <v>140</v>
      </c>
      <c r="F31" s="1"/>
    </row>
    <row r="32" spans="1:8" x14ac:dyDescent="0.25">
      <c r="A32" s="1" t="s">
        <v>148</v>
      </c>
      <c r="B32" s="1" t="s">
        <v>147</v>
      </c>
      <c r="C32" s="24">
        <v>14500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7A0A7-BD23-4866-AAC8-BFA77D2E9E1C}">
  <dimension ref="A10:N19"/>
  <sheetViews>
    <sheetView topLeftCell="A7" zoomScale="120" zoomScaleNormal="120" workbookViewId="0">
      <selection activeCell="C21" sqref="C21"/>
    </sheetView>
  </sheetViews>
  <sheetFormatPr defaultRowHeight="15" x14ac:dyDescent="0.25"/>
  <cols>
    <col min="1" max="4" width="11.140625" customWidth="1"/>
  </cols>
  <sheetData>
    <row r="10" spans="1:14" x14ac:dyDescent="0.25">
      <c r="A10" s="40" t="s">
        <v>139</v>
      </c>
    </row>
    <row r="11" spans="1:14" x14ac:dyDescent="0.25">
      <c r="A11" s="37" t="s">
        <v>150</v>
      </c>
      <c r="B11" s="33" t="s">
        <v>151</v>
      </c>
      <c r="C11" s="34" t="s">
        <v>152</v>
      </c>
      <c r="D11" s="35" t="s">
        <v>153</v>
      </c>
    </row>
    <row r="12" spans="1:14" x14ac:dyDescent="0.25">
      <c r="A12" s="4" t="s">
        <v>154</v>
      </c>
      <c r="B12" s="4" t="s">
        <v>155</v>
      </c>
      <c r="C12" s="4">
        <v>4</v>
      </c>
      <c r="D12" s="47">
        <v>40000</v>
      </c>
      <c r="F12" s="55" t="s">
        <v>163</v>
      </c>
      <c r="G12" s="56"/>
      <c r="H12" s="56"/>
      <c r="I12" s="56"/>
      <c r="J12" s="56"/>
      <c r="K12" s="56"/>
      <c r="L12" s="56"/>
      <c r="M12" s="57"/>
    </row>
    <row r="13" spans="1:14" x14ac:dyDescent="0.25">
      <c r="A13" s="1" t="s">
        <v>156</v>
      </c>
      <c r="B13" s="1" t="s">
        <v>157</v>
      </c>
      <c r="C13" s="1">
        <v>6</v>
      </c>
      <c r="D13" s="24">
        <v>55000</v>
      </c>
      <c r="F13" s="4"/>
    </row>
    <row r="14" spans="1:14" x14ac:dyDescent="0.25">
      <c r="A14" s="1" t="s">
        <v>158</v>
      </c>
      <c r="B14" s="1" t="s">
        <v>155</v>
      </c>
      <c r="C14" s="1">
        <v>7</v>
      </c>
      <c r="D14" s="24">
        <v>50000</v>
      </c>
    </row>
    <row r="15" spans="1:14" x14ac:dyDescent="0.25">
      <c r="A15" s="1" t="s">
        <v>159</v>
      </c>
      <c r="B15" s="1" t="s">
        <v>157</v>
      </c>
      <c r="C15" s="1">
        <v>3</v>
      </c>
      <c r="D15" s="24">
        <v>48000</v>
      </c>
      <c r="F15" s="55" t="s">
        <v>164</v>
      </c>
      <c r="G15" s="56"/>
      <c r="H15" s="56"/>
      <c r="I15" s="56"/>
      <c r="J15" s="56"/>
      <c r="K15" s="56"/>
      <c r="L15" s="56"/>
      <c r="M15" s="56"/>
      <c r="N15" s="57"/>
    </row>
    <row r="16" spans="1:14" x14ac:dyDescent="0.25">
      <c r="A16" s="1" t="s">
        <v>160</v>
      </c>
      <c r="B16" s="1" t="s">
        <v>14</v>
      </c>
      <c r="C16" s="1">
        <v>8</v>
      </c>
      <c r="D16" s="24">
        <v>70000</v>
      </c>
      <c r="F16" s="4"/>
    </row>
    <row r="17" spans="1:10" x14ac:dyDescent="0.25">
      <c r="A17" s="1" t="s">
        <v>161</v>
      </c>
      <c r="B17" s="1" t="s">
        <v>14</v>
      </c>
      <c r="C17" s="1">
        <v>2</v>
      </c>
      <c r="D17" s="24">
        <v>38000</v>
      </c>
    </row>
    <row r="18" spans="1:10" x14ac:dyDescent="0.25">
      <c r="A18" s="1" t="s">
        <v>162</v>
      </c>
      <c r="B18" s="1" t="s">
        <v>157</v>
      </c>
      <c r="C18" s="1">
        <v>10</v>
      </c>
      <c r="D18" s="24">
        <v>60000</v>
      </c>
      <c r="F18" s="55" t="s">
        <v>165</v>
      </c>
      <c r="G18" s="56"/>
      <c r="H18" s="56"/>
      <c r="I18" s="56"/>
      <c r="J18" s="57"/>
    </row>
    <row r="19" spans="1:10" x14ac:dyDescent="0.25">
      <c r="F19" s="4"/>
    </row>
  </sheetData>
  <mergeCells count="3">
    <mergeCell ref="F12:M12"/>
    <mergeCell ref="F15:N15"/>
    <mergeCell ref="F18:J1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0585-1B82-4252-8401-F58D0F072173}">
  <dimension ref="A1:B2"/>
  <sheetViews>
    <sheetView zoomScale="160" zoomScaleNormal="160" workbookViewId="0">
      <selection activeCell="B5" sqref="B5"/>
    </sheetView>
  </sheetViews>
  <sheetFormatPr defaultRowHeight="15" x14ac:dyDescent="0.25"/>
  <sheetData>
    <row r="1" spans="1:2" s="63" customFormat="1" x14ac:dyDescent="0.25">
      <c r="A1" s="65" t="s">
        <v>213</v>
      </c>
      <c r="B1" s="66"/>
    </row>
    <row r="2" spans="1:2" s="63" customFormat="1" x14ac:dyDescent="0.25">
      <c r="A2" s="63"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IF</vt:lpstr>
      <vt:lpstr>Nested IFs</vt:lpstr>
      <vt:lpstr>IFS</vt:lpstr>
      <vt:lpstr>sumifs</vt:lpstr>
      <vt:lpstr>Practice_sumifs</vt:lpstr>
      <vt:lpstr>Avg, count</vt:lpstr>
      <vt:lpstr>Practice</vt:lpstr>
      <vt:lpstr>minifs-maxifs</vt:lpstr>
      <vt:lpstr>Iferror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patwa</dc:creator>
  <cp:lastModifiedBy>devesh patwa</cp:lastModifiedBy>
  <dcterms:created xsi:type="dcterms:W3CDTF">2015-06-05T18:17:20Z</dcterms:created>
  <dcterms:modified xsi:type="dcterms:W3CDTF">2025-11-11T13:47:57Z</dcterms:modified>
</cp:coreProperties>
</file>